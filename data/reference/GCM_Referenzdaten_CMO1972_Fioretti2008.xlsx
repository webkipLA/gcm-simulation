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worksheets/_rels/sheet21.xml.rels" ContentType="application/vnd.openxmlformats-package.relationships+xml"/>
  <Override PartName="/xl/worksheets/_rels/sheet20.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5.xml" ContentType="application/vnd.openxmlformats-officedocument.spreadsheetml.comments+xml"/>
  <Override PartName="/xl/comments5.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vmlDrawing4.vml" ContentType="application/vnd.openxmlformats-officedocument.vmlDrawing"/>
  <Override PartName="/xl/drawings/drawing2.xml" ContentType="application/vnd.openxmlformats-officedocument.drawing+xml"/>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20.xml" ContentType="application/vnd.openxmlformats-officedocument.spreadsheetml.comments+xml"/>
  <Override PartName="/xl/theme/theme1.xml" ContentType="application/vnd.openxmlformats-officedocument.theme+xml"/>
  <Override PartName="/xl/comments8.xml" ContentType="application/vnd.openxmlformats-officedocument.spreadsheetml.comments+xml"/>
  <Override PartName="/xl/comments14.xml" ContentType="application/vnd.openxmlformats-officedocument.spreadsheetml.comments+xml"/>
  <Override PartName="/xl/comments16.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es_mich" sheetId="1" state="visible" r:id="rId3"/>
    <sheet name="CMO_Design" sheetId="2" state="visible" r:id="rId4"/>
    <sheet name="CMO_Strukturen" sheetId="3" state="visible" r:id="rId5"/>
    <sheet name="CMO_Kennzahlen" sheetId="4" state="visible" r:id="rId6"/>
    <sheet name="CMO_Tab1" sheetId="5" state="visible" r:id="rId7"/>
    <sheet name="CMO_Tab2" sheetId="6" state="visible" r:id="rId8"/>
    <sheet name="CMO_Tab3_Tab4" sheetId="7" state="visible" r:id="rId9"/>
    <sheet name="CMO_Tab5" sheetId="8" state="visible" r:id="rId10"/>
    <sheet name="CMO_Textwerte" sheetId="9" state="visible" r:id="rId11"/>
    <sheet name="CMO_Eigenschaften" sheetId="10" state="visible" r:id="rId12"/>
    <sheet name="FL_Design" sheetId="11" state="visible" r:id="rId13"/>
    <sheet name="FL_Kennzahlen" sheetId="12" state="visible" r:id="rId14"/>
    <sheet name="FL_Abb12_13_18" sheetId="13" state="visible" r:id="rId15"/>
    <sheet name="FL_Abb14" sheetId="14" state="visible" r:id="rId16"/>
    <sheet name="FL_Abb15_17" sheetId="15" state="visible" r:id="rId17"/>
    <sheet name="FL_Abb19" sheetId="16" state="visible" r:id="rId18"/>
    <sheet name="FL_Befunde" sheetId="17" state="visible" r:id="rId19"/>
    <sheet name="Fioretti_aktuell" sheetId="18" state="visible" r:id="rId20"/>
    <sheet name="Pruefungen" sheetId="19" state="visible" r:id="rId21"/>
    <sheet name="Docking_CMO" sheetId="20" state="visible" r:id="rId22"/>
    <sheet name="Daten_long" sheetId="21" state="visible" r:id="rId23"/>
  </sheets>
  <definedNames>
    <definedName function="false" hidden="true" localSheetId="20" name="_xlnm._FilterDatabase" vbProcedure="false">Daten_long!$A$4:$Y$273</definedName>
    <definedName function="false" hidden="true" localSheetId="19" name="_xlnm._FilterDatabase" vbProcedure="false">Docking_CMO!$A$10:$L$111</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8" authorId="0">
      <text>
        <r>
          <rPr>
            <sz val="10"/>
            <rFont val="Arial"/>
            <family val="2"/>
          </rPr>
          <t xml:space="preserve">Gesamtwert über alle 324 Läufe. Komplement 1 minus 0,40 = 0,60 ist der Gesamtanteil von Flight und Oversight.</t>
        </r>
      </text>
    </comment>
    <comment ref="C6" authorId="0">
      <text>
        <r>
          <rPr>
            <sz val="10"/>
            <rFont val="Arial"/>
            <family val="2"/>
          </rPr>
          <t xml:space="preserve">Nicht monoton in der Last (0,38; 0,04; 0,35). Solche Einzelzellen reagieren stark auf Gleichstände in der Energiebilanz und sollten im Docking gesondert betrachtet werden.</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Problemaktivität = Maß 3 aus S. 8 (KT). Der Artikel wählt es wegen der größeren Varianz; ungelöste Probleme (KW) und Wechsel (KV) seien stark korreliert.</t>
        </r>
      </text>
    </comment>
    <comment ref="E6" authorId="0">
      <text>
        <r>
          <rPr>
            <sz val="10"/>
            <rFont val="Arial"/>
            <family val="2"/>
          </rPr>
          <t xml:space="preserve">Nicht monoton: mittlere Last 0,70, schwere Last 0,64. Der Text (S. 9) spricht von einer generellen Zunahme mit der Last.</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B16" authorId="0">
      <text>
        <r>
          <rPr>
            <sz val="10"/>
            <rFont val="Arial"/>
            <family val="2"/>
          </rPr>
          <t xml:space="preserve">Laut Text sind die Unterschiede unter beiden Folgen der Gelegenheiten sichtbar und am deutlichsten, wenn wichtige Entscheidungen früh eintreffen.</t>
        </r>
      </text>
    </comment>
    <comment ref="B25" authorId="0">
      <text>
        <r>
          <rPr>
            <sz val="10"/>
            <rFont val="Arial"/>
            <family val="2"/>
          </rPr>
          <t xml:space="preserve">Eigenschaft 8 (S. 11): Ausfälle konzentrieren sich auf die wichtigsten und unwichtigsten Entscheidungen; mittlere werden fast immer getroffen.</t>
        </r>
      </text>
    </comment>
    <comment ref="C7" authorId="0">
      <text>
        <r>
          <rPr>
            <sz val="10"/>
            <rFont val="Arial"/>
            <family val="2"/>
          </rPr>
          <t xml:space="preserve">Der Wichtigkeitseffekt zeigt sich nur bei spät eintreffenden Problemen (0,44 gegenüber 0,25). Bei früh eintreffenden sind wenig wichtige minimal häufiger gelöst (0,48 gegenüber 0,46).</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C20" authorId="0">
      <text>
        <r>
          <rPr>
            <sz val="10"/>
            <rFont val="Arial"/>
            <family val="2"/>
          </rPr>
          <t xml:space="preserve">Leichte Last mit unsegmentiertem Zugang und unsegmentierter Entscheidungsstruktur: jede Entscheidung löst ihre Probleme sofort. Bendor, Moe und Shotts (2001, S. 177) beschreiben dieses Packverhalten beim Nachrechnen.</t>
        </r>
      </text>
    </comment>
    <comment ref="C21" authorId="0">
      <text>
        <r>
          <rPr>
            <sz val="10"/>
            <rFont val="Arial"/>
            <family val="2"/>
          </rPr>
          <t xml:space="preserve">Kein einziges Problem wird durch eine Entscheidung gelöst (Anteil 0), obwohl die Problemaktivität mit 310 am höchsten ist.</t>
        </r>
      </text>
    </comment>
    <comment ref="C22" authorId="0">
      <text>
        <r>
          <rPr>
            <sz val="10"/>
            <rFont val="Arial"/>
            <family val="2"/>
          </rPr>
          <t xml:space="preserve">Leichte Last mit unsegmentiertem Zugang und unsegmentierter Entscheidungsstruktur: jede Entscheidung löst ihre Probleme sofort. Bendor, Moe und Shotts (2001, S. 177) beschreiben dieses Packverhalten beim Nachrechnen.</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C9" authorId="0">
      <text>
        <r>
          <rPr>
            <sz val="10"/>
            <rFont val="Arial"/>
            <family val="2"/>
          </rPr>
          <t xml:space="preserve">Am unteren Achsenrand (10) abgeschnitten; der wahre Indexwert liegt bei höchstens etwa 10.</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D28" authorId="0">
      <text>
        <r>
          <rPr>
            <sz val="10"/>
            <rFont val="Arial"/>
            <family val="2"/>
          </rPr>
          <t xml:space="preserve">Deckfläche teilweise verdeckt; Wert aus dem sichtbaren Teil, Unsicherheit etwas größer.</t>
        </r>
      </text>
    </comment>
    <comment ref="E20" authorId="0">
      <text>
        <r>
          <rPr>
            <sz val="10"/>
            <rFont val="Arial"/>
            <family val="2"/>
          </rPr>
          <t xml:space="preserve">Deckfläche manuell vermessen (automatische Erkennung scheiterte an angrenzender Säule).</t>
        </r>
      </text>
    </comment>
    <comment ref="E25" authorId="0">
      <text>
        <r>
          <rPr>
            <sz val="10"/>
            <rFont val="Arial"/>
            <family val="2"/>
          </rPr>
          <t xml:space="preserve">verdeckt; aus der Geometrie höchstens etwa 20.500</t>
        </r>
      </text>
    </comment>
    <comment ref="E28" authorId="0">
      <text>
        <r>
          <rPr>
            <sz val="10"/>
            <rFont val="Arial"/>
            <family val="2"/>
          </rPr>
          <t xml:space="preserve">Deckfläche teilweise verdeckt; Wert aus dem sichtbaren Teil, Unsicherheit etwas größer.</t>
        </r>
      </text>
    </comment>
    <comment ref="F25" authorId="0">
      <text>
        <r>
          <rPr>
            <sz val="10"/>
            <rFont val="Arial"/>
            <family val="2"/>
          </rPr>
          <t xml:space="preserve">verdeckt; aus der Geometrie höchstens etwa 20.700</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D9" authorId="0">
      <text>
        <r>
          <rPr>
            <sz val="10"/>
            <rFont val="Arial"/>
            <family val="2"/>
          </rPr>
          <t xml:space="preserve">Weiße und schwarze Säule sind im Rahmen der Pixelauflösung gleich hoch. Der Text (Abs. 6.40) spricht von immer niedrigeren Werten auf den wichtigsten Gelegenheiten.</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Platzhalter. Begründungsvorschlag: Bandbreite zwischen zwei plausiblen Arithmetiken des Ports (zum Beispiel exakt gegen IBM-360-Emulation) oder Streuung über die vier Eintrittsfolgen.</t>
        </r>
      </text>
    </comment>
    <comment ref="C6" authorId="0">
      <text>
        <r>
          <rPr>
            <sz val="10"/>
            <rFont val="Arial"/>
            <family val="2"/>
          </rPr>
          <t xml:space="preserve">Verhindert eine Toleranz von 0 bei Referenzwert 0 (zum Beispiel Tab. 5).</t>
        </r>
      </text>
    </comment>
    <comment ref="J13" authorId="0">
      <text>
        <r>
          <rPr>
            <sz val="10"/>
            <rFont val="Arial"/>
            <family val="2"/>
          </rPr>
          <t xml:space="preserve">Beispielwert aus der Projektnotiz vom 09.10.2026 (FORTRAN-Port, Backend exact, Commit 11de0e3); bitte überschreiben.</t>
        </r>
      </text>
    </comment>
    <comment ref="J23" authorId="0">
      <text>
        <r>
          <rPr>
            <sz val="10"/>
            <rFont val="Arial"/>
            <family val="2"/>
          </rPr>
          <t xml:space="preserve">Beispielwert aus der Projektnotiz vom 09.10.2026 (FORTRAN-Port, Backend exact, Commit 11de0e3); bitte überschreiben.</t>
        </r>
      </text>
    </comment>
    <comment ref="J27" authorId="0">
      <text>
        <r>
          <rPr>
            <sz val="10"/>
            <rFont val="Arial"/>
            <family val="2"/>
          </rPr>
          <t xml:space="preserve">Beispielwert aus der Projektnotiz vom 09.10.2026 (FORTRAN-Port, Backend exact, Commit 11de0e3); bitte überschreiben.</t>
        </r>
      </text>
    </comment>
    <comment ref="J28" authorId="0">
      <text>
        <r>
          <rPr>
            <sz val="10"/>
            <rFont val="Arial"/>
            <family val="2"/>
          </rPr>
          <t xml:space="preserve">Beispielwert aus der Projektnotiz vom 09.10.2026 (FORTRAN-Port, Backend exact, Commit 11de0e3); bitte überschreiben.</t>
        </r>
      </text>
    </comment>
    <comment ref="J29" authorId="0">
      <text>
        <r>
          <rPr>
            <sz val="10"/>
            <rFont val="Arial"/>
            <family val="2"/>
          </rPr>
          <t xml:space="preserve">Beispielwert aus der Projektnotiz vom 09.10.2026 (FORTRAN-Port, Backend exact, Commit 11de0e3); bitte überschreiben.</t>
        </r>
      </text>
    </comment>
    <comment ref="J30" authorId="0">
      <text>
        <r>
          <rPr>
            <sz val="10"/>
            <rFont val="Arial"/>
            <family val="2"/>
          </rPr>
          <t xml:space="preserve">Beispielwert aus der Projektnotiz vom 09.10.2026 (FORTRAN-Port, Backend exact, Commit 11de0e3); bitte überschreiben.</t>
        </r>
      </text>
    </comment>
    <comment ref="J31" authorId="0">
      <text>
        <r>
          <rPr>
            <sz val="10"/>
            <rFont val="Arial"/>
            <family val="2"/>
          </rPr>
          <t xml:space="preserve">Beispielwert aus der Projektnotiz vom 09.10.2026 (FORTRAN-Port, Backend exact, Commit 11de0e3); bitte überschreiben.</t>
        </r>
      </text>
    </comment>
    <comment ref="J32" authorId="0">
      <text>
        <r>
          <rPr>
            <sz val="10"/>
            <rFont val="Arial"/>
            <family val="2"/>
          </rPr>
          <t xml:space="preserve">Beispielwert aus der Projektnotiz vom 09.10.2026 (FORTRAN-Port, Backend exact, Commit 11de0e3); bitte überschreiben.</t>
        </r>
      </text>
    </comment>
    <comment ref="J33" authorId="0">
      <text>
        <r>
          <rPr>
            <sz val="10"/>
            <rFont val="Arial"/>
            <family val="2"/>
          </rPr>
          <t xml:space="preserve">Beispielwert aus der Projektnotiz vom 09.10.2026 (FORTRAN-Port, Backend exact, Commit 11de0e3); bitte überschreiben.</t>
        </r>
      </text>
    </comment>
    <comment ref="J34" authorId="0">
      <text>
        <r>
          <rPr>
            <sz val="10"/>
            <rFont val="Arial"/>
            <family val="2"/>
          </rPr>
          <t xml:space="preserve">Beispielwert aus der Projektnotiz vom 09.10.2026 (FORTRAN-Port, Backend exact, Commit 11de0e3); bitte überschreiben.</t>
        </r>
      </text>
    </comment>
    <comment ref="J35" authorId="0">
      <text>
        <r>
          <rPr>
            <sz val="10"/>
            <rFont val="Arial"/>
            <family val="2"/>
          </rPr>
          <t xml:space="preserve">Beispielwert aus der Projektnotiz vom 09.10.2026 (FORTRAN-Port, Backend exact, Commit 11de0e3); bitte überschreiben.</t>
        </r>
      </text>
    </comment>
    <comment ref="J36" authorId="0">
      <text>
        <r>
          <rPr>
            <sz val="10"/>
            <rFont val="Arial"/>
            <family val="2"/>
          </rPr>
          <t xml:space="preserve">Beispielwert aus der Projektnotiz vom 09.10.2026 (FORTRAN-Port, Backend exact, Commit 11de0e3); bitte überschreiben.</t>
        </r>
      </text>
    </comment>
    <comment ref="J37" authorId="0">
      <text>
        <r>
          <rPr>
            <sz val="10"/>
            <rFont val="Arial"/>
            <family val="2"/>
          </rPr>
          <t xml:space="preserve">Beispielwert aus der Projektnotiz vom 09.10.2026 (FORTRAN-Port, Backend exact, Commit 11de0e3); bitte überschreiben.</t>
        </r>
      </text>
    </comment>
    <comment ref="J38" authorId="0">
      <text>
        <r>
          <rPr>
            <sz val="10"/>
            <rFont val="Arial"/>
            <family val="2"/>
          </rPr>
          <t xml:space="preserve">Beispielwert aus der Projektnotiz vom 09.10.2026 (FORTRAN-Port, Backend exact, Commit 11de0e3); bitte überschreiben.</t>
        </r>
      </text>
    </comment>
    <comment ref="J110" authorId="0">
      <text>
        <r>
          <rPr>
            <sz val="10"/>
            <rFont val="Arial"/>
            <family val="2"/>
          </rPr>
          <t xml:space="preserve">Beispielwert aus der Projektnotiz vom 09.10.2026 (FORTRAN-Port, Backend exact, Commit 11de0e3); bitte überschreiben.</t>
        </r>
      </text>
    </comment>
    <comment ref="J111" authorId="0">
      <text>
        <r>
          <rPr>
            <sz val="10"/>
            <rFont val="Arial"/>
            <family val="2"/>
          </rPr>
          <t xml:space="preserve">Beispielwert aus der Projektnotiz vom 09.10.2026 (FORTRAN-Port, Backend exact, Commit 11de0e3); bitte überschreiben.</t>
        </r>
      </text>
    </comment>
  </commentList>
</comments>
</file>

<file path=xl/sharedStrings.xml><?xml version="1.0" encoding="utf-8"?>
<sst xmlns="http://schemas.openxmlformats.org/spreadsheetml/2006/main" count="6541" uniqueCount="1701">
  <si>
    <t xml:space="preserve">Referenzdaten für Docking und Vergleich: Cohen, March und Olsen (1972) sowie Fioretti und Lomi (2008)</t>
  </si>
  <si>
    <t xml:space="preserve">Stand 16.10.2026. Extrahiert aus den Projekt-PDFs; alle Tabellenwerte am Scan geprüft, Abbildungswerte digitalisiert.</t>
  </si>
  <si>
    <t xml:space="preserve">Quellen</t>
  </si>
  <si>
    <t xml:space="preserve">Kürzel</t>
  </si>
  <si>
    <t xml:space="preserve">Angabe</t>
  </si>
  <si>
    <t xml:space="preserve">Verwendete Teile</t>
  </si>
  <si>
    <t xml:space="preserve">CMO 1972</t>
  </si>
  <si>
    <t xml:space="preserve">Cohen, Michael D.; March, James G.; Olsen, Johan P. (1972): A Garbage Can Model of Organizational Choice. Administrative Science Quarterly 17 (1), S. 1 bis 25. DOI 10.2307/2392088.</t>
  </si>
  <si>
    <t xml:space="preserve">Tabellen 1 bis 5, Zahlen im Text, Parameter S. 4 bis 8, Kennzahlen S. 8, 9, 17, 18, Listing S. 19 bis 24</t>
  </si>
  <si>
    <t xml:space="preserve">FL 2008</t>
  </si>
  <si>
    <t xml:space="preserve">Fioretti, Guido; Lomi, Alessandro (2008): An Agent-Based Representation of the Garbage Can Model of Organizational Choice. Journal of Artificial Societies and Social Simulation 11 (1), 1. http://jasss.soc.surrey.ac.uk/11/1/1.html</t>
  </si>
  <si>
    <t xml:space="preserve">Abs. 3 bis 7, Gleichungen 5 bis 8, Abb. 12 bis 19</t>
  </si>
  <si>
    <t xml:space="preserve">Fioretti aktuell</t>
  </si>
  <si>
    <t xml:space="preserve">Fioretti, Guido: GarbageCan_simplified17.nlogox (NetLogo 7.0.4), Info-Tab; unveröffentlichte Version, bei Open ABM eingereicht. Verweist auf Fioretti, Guido (2024): Emergence and Evolution of Organizations out of Garbage Can Dynamics. Industrial and Corporate Change 33 (4), S. 808 bis 830.</t>
  </si>
  <si>
    <t xml:space="preserve">Nur qualitative Eigenschaften und Versuchsplan</t>
  </si>
  <si>
    <t xml:space="preserve">Fundstellen</t>
  </si>
  <si>
    <t xml:space="preserve">CMO: Seitenzahlen der Zeitschrift. Im JSTOR-PDF ist die PDF-Seite gleich Zeitschriftenseite plus 1 (Deckblatt). FL: Absatznummern (Abs.) und Abbildungsnummern der JASSS-Fassung, die keine Seitenzahlen hat.</t>
  </si>
  <si>
    <t xml:space="preserve">Werttypen und Farben</t>
  </si>
  <si>
    <t xml:space="preserve">blaue Schrift</t>
  </si>
  <si>
    <t xml:space="preserve">Wert aus der Quelle übernommen (Tabelle, Text, Datenkarte) oder Eingabewert.</t>
  </si>
  <si>
    <t xml:space="preserve">schwarze Schrift</t>
  </si>
  <si>
    <t xml:space="preserve">Formel im selben Blatt.</t>
  </si>
  <si>
    <t xml:space="preserve">grüne Schrift</t>
  </si>
  <si>
    <t xml:space="preserve">Formel mit Verweis auf ein anderes Blatt.</t>
  </si>
  <si>
    <t xml:space="preserve">orange Füllung</t>
  </si>
  <si>
    <t xml:space="preserve">Aus einer Abbildung digitalisiert; Unsicherheit in der jeweiligen Spalte bzw. Kommentar.</t>
  </si>
  <si>
    <t xml:space="preserve">hellgrüne Füllung</t>
  </si>
  <si>
    <t xml:space="preserve">Berechnete Prüf- oder Hilfsgröße.</t>
  </si>
  <si>
    <t xml:space="preserve">gelbe Füllung</t>
  </si>
  <si>
    <t xml:space="preserve">Zum Ausfüllen gedacht (eigene Werte, Toleranzen, Ergebnisse).</t>
  </si>
  <si>
    <t xml:space="preserve">Kommentar (rotes Dreieck)</t>
  </si>
  <si>
    <t xml:space="preserve">Annotation an der Zelle mit Hinweisen zu Auffälligkeiten oder Lesarten.</t>
  </si>
  <si>
    <t xml:space="preserve">Werttyp in Daten_long</t>
  </si>
  <si>
    <t xml:space="preserve">publiziert (Tabelle)</t>
  </si>
  <si>
    <t xml:space="preserve">Wert wie in einer Tabelle gedruckt.</t>
  </si>
  <si>
    <t xml:space="preserve">publiziert (Text)</t>
  </si>
  <si>
    <t xml:space="preserve">Wert im Fließtext genannt.</t>
  </si>
  <si>
    <t xml:space="preserve">digitalisiert</t>
  </si>
  <si>
    <t xml:space="preserve">Pixelgenau aus einer Abbildung abgelesen; nur für Rangfolgen, Richtungen und Größenordnungen geeignet.</t>
  </si>
  <si>
    <t xml:space="preserve">Normierung</t>
  </si>
  <si>
    <t xml:space="preserve">Festgelegter Bezugswert einer Indexdarstellung (100).</t>
  </si>
  <si>
    <t xml:space="preserve">Blätter</t>
  </si>
  <si>
    <t xml:space="preserve">CMO_Design</t>
  </si>
  <si>
    <t xml:space="preserve">Feste Parameter, Lastniveaus, Versuchsplan, Konventionen.</t>
  </si>
  <si>
    <t xml:space="preserve">CMO_Strukturen</t>
  </si>
  <si>
    <t xml:space="preserve">Matrizen A0 bis A2 und D0 bis D2, Energieverteilungen, Eintrittsfolgen und daraus berechnete Eintrittsperioden mit Abgleich gegen die Datenkarten.</t>
  </si>
  <si>
    <t xml:space="preserve">CMO_Kennzahlen</t>
  </si>
  <si>
    <t xml:space="preserve">Zehn Kennzahlen des Fortran-Programms mit Zählweise laut Listing und Verwendung in den Tabellen.</t>
  </si>
  <si>
    <t xml:space="preserve">CMO_Tab1 bis CMO_Tab5</t>
  </si>
  <si>
    <t xml:space="preserve">Tabellen 1 bis 5 im Layout des Artikels mit Rand- und Prüfrechnungen.</t>
  </si>
  <si>
    <t xml:space="preserve">CMO_Textwerte</t>
  </si>
  <si>
    <t xml:space="preserve">Zahlen aus dem Fließtext und Nachrechnung der Aussagen zu Tab. 5.</t>
  </si>
  <si>
    <t xml:space="preserve">CMO_Eigenschaften</t>
  </si>
  <si>
    <t xml:space="preserve">Acht Eigenschaften als relationale Docking-Ziele mit Status bei FL und Operationalisierungsvorschlag.</t>
  </si>
  <si>
    <t xml:space="preserve">FL_Design, FL_Kennzahlen</t>
  </si>
  <si>
    <t xml:space="preserve">Basiswerte, Versuchsaufbau je Abbildung, Übersetzung der Kennzahlen.</t>
  </si>
  <si>
    <t xml:space="preserve">FL_Abb12_13_18, FL_Abb14, FL_Abb15_17, FL_Abb19</t>
  </si>
  <si>
    <t xml:space="preserve">Digitalisierte und im Text genannte Ergebnisse.</t>
  </si>
  <si>
    <t xml:space="preserve">FL_Befunde</t>
  </si>
  <si>
    <t xml:space="preserve">Bestätigte und nicht bestätigte CMO-Aussagen, Einzelbefunde.</t>
  </si>
  <si>
    <t xml:space="preserve">Fioretti_aktuell</t>
  </si>
  <si>
    <t xml:space="preserve">Eigenschaften und Versuchsplan des aktuellen NetLogo-Modells sowie Hinweise für den Port.</t>
  </si>
  <si>
    <t xml:space="preserve">Pruefungen</t>
  </si>
  <si>
    <t xml:space="preserve">Automatische Konsistenzprüfungen und Protokoll des Scanabgleichs.</t>
  </si>
  <si>
    <t xml:space="preserve">Docking_CMO</t>
  </si>
  <si>
    <t xml:space="preserve">Vorlage für den Zahlenvergleich mit eigenem Port: Toleranzen, eigene Werte, Status.</t>
  </si>
  <si>
    <t xml:space="preserve">Daten_long</t>
  </si>
  <si>
    <t xml:space="preserve">Alle Zahlen in einer Tabelle; identisch mit der CSV-Datei.</t>
  </si>
  <si>
    <t xml:space="preserve">Hinweise zur Nutzung</t>
  </si>
  <si>
    <t xml:space="preserve">Die Tabellen 1 bis 4 von CMO sind Mittelwerte über die vier Kombinationen der Eintrittsfolgen. Die Zahl der Läufe je Zelle ist aus dem Versuchsplan abgeleitet und in der Spalte aggregation vermerkt.</t>
  </si>
  <si>
    <t xml:space="preserve">Das Fortran-Programm gibt keine Entscheidungsstile aus. Sie müssen aus den Verläufen (IO = 2) nach der Definition auf S. 8 bestimmt werden; Mischfälle aus Flight und Resolution zählen als Resolution.</t>
  </si>
  <si>
    <t xml:space="preserve">Die CMO-Werte sind gerundet gedruckt. Die Rundungstoleranz beträgt eine halbe Einheit der letzten gedruckten Stelle (Blatt Docking_CMO).</t>
  </si>
  <si>
    <t xml:space="preserve">FL 2008 berichtet fast nur Abbildungen. Die digitalisierten Werte eignen sich für Rangfolgen und Richtungen, nicht für numerisches Docking. Streuungen über die 100 Läufe sind nicht berichtet.</t>
  </si>
  <si>
    <t xml:space="preserve">In FL 2008 ist Flight ein Ereignis und keine Entscheidungsart. Der FL-Oversight-Anteil entspricht dem CMO-Anteil von Flight plus Oversight.</t>
  </si>
  <si>
    <t xml:space="preserve">Das aktuelle NetLogo-Modell weicht vom JASSS-Modell 2008 ab. Für seinen Port gibt es nur die qualitativen Eigenschaften im Blatt Fioretti_aktuell.</t>
  </si>
  <si>
    <t xml:space="preserve">Die CSV-Datei hat denselben Inhalt wie Daten_long, ohne Formeln: UTF-8, kommagetrennt, Dezimalpunkt. Einlesen etwa mit pandas.read_csv(pfad).</t>
  </si>
  <si>
    <t xml:space="preserve">Zitiervorschlag</t>
  </si>
  <si>
    <t xml:space="preserve">Eigene Zusammenstellung nach Cohen, March und Olsen (1972, Tab. 1 bis 5) sowie Fioretti und Lomi (2008, Abb. 12 bis 19); Werte zu Fioretti und Lomi aus den Abbildungen digitalisiert.</t>
  </si>
  <si>
    <t xml:space="preserve">Cohen, March und Olsen (1972): Simulationsdesign und feste Parameter</t>
  </si>
  <si>
    <t xml:space="preserve">Seitenangaben beziehen sich auf die Zeitschriftenpaginierung (ASQ 17, 1972). Blaue Werte sind aus dem Artikel übernommen, schwarze sind Formeln.</t>
  </si>
  <si>
    <t xml:space="preserve">Parameter</t>
  </si>
  <si>
    <t xml:space="preserve">Wert</t>
  </si>
  <si>
    <t xml:space="preserve">Einheit oder Kodierung</t>
  </si>
  <si>
    <t xml:space="preserve">Fundstelle</t>
  </si>
  <si>
    <t xml:space="preserve">Anmerkung</t>
  </si>
  <si>
    <t xml:space="preserve">Zeitperioden</t>
  </si>
  <si>
    <t xml:space="preserve">Perioden</t>
  </si>
  <si>
    <t xml:space="preserve">S. 4</t>
  </si>
  <si>
    <t xml:space="preserve">Entscheidungsgelegenheiten (choices, m)</t>
  </si>
  <si>
    <t xml:space="preserve">Anzahl</t>
  </si>
  <si>
    <t xml:space="preserve">Eine Gelegenheit tritt je Periode in den ersten zehn Perioden ein (S. 5).</t>
  </si>
  <si>
    <t xml:space="preserve">Entscheidungsträger (decision makers, v)</t>
  </si>
  <si>
    <t xml:space="preserve">Im Programm stehen alle Entscheidungsträger ab Periode 1 zur Verfügung (vgl. Fioretti und Lomi 2008, Abs. 3.2).</t>
  </si>
  <si>
    <t xml:space="preserve">Probleme (w)</t>
  </si>
  <si>
    <t xml:space="preserve">Zwei Probleme treten je Periode in den ersten zehn Perioden ein (S. 5).</t>
  </si>
  <si>
    <t xml:space="preserve">Lösungskoeffizient je Periode</t>
  </si>
  <si>
    <t xml:space="preserve">Faktor auf die Energie</t>
  </si>
  <si>
    <t xml:space="preserve">S. 4 und 5</t>
  </si>
  <si>
    <t xml:space="preserve">Für alle berichteten Ergebnisse konstant 0,6. Fußnote 3 nennt eine zeitlich variierende Reihe als Robustheitsprüfung (siehe unten).</t>
  </si>
  <si>
    <t xml:space="preserve">Energie aller Entscheidungsträger je Periode</t>
  </si>
  <si>
    <t xml:space="preserve">Energieeinheiten</t>
  </si>
  <si>
    <t xml:space="preserve">S. 5 und 7</t>
  </si>
  <si>
    <t xml:space="preserve">Gilt für alle drei Energieverteilungen E0, E1, E2.</t>
  </si>
  <si>
    <t xml:space="preserve">Gesamtenergie über alle Perioden</t>
  </si>
  <si>
    <t xml:space="preserve">S. 5</t>
  </si>
  <si>
    <t xml:space="preserve">Im Artikel 110.</t>
  </si>
  <si>
    <t xml:space="preserve">Effektive Gesamtenergie (nach Lösungskoeffizient)</t>
  </si>
  <si>
    <t xml:space="preserve">Im Artikel 66.</t>
  </si>
  <si>
    <t xml:space="preserve">Energiebedarf je Problem, Last 0 (leicht, light load)</t>
  </si>
  <si>
    <t xml:space="preserve">Im Fortran-Listing XERP(J) = IL * 1,1 mit IL = 1; ausgegeben wird LOAD = IL minus 1 = 0.</t>
  </si>
  <si>
    <t xml:space="preserve">Mindestbedarf aller Probleme, Last 0</t>
  </si>
  <si>
    <t xml:space="preserve">Nettolast, Last 0 (Formel)</t>
  </si>
  <si>
    <t xml:space="preserve">Im Artikel -44. Negative Werte bedeuten, dass rechnerisch genug Energie vorhanden ist.</t>
  </si>
  <si>
    <t xml:space="preserve">Nettolast, Last 0 (gedruckter Wert)</t>
  </si>
  <si>
    <t xml:space="preserve">Energiebedarf je Problem, Last 1 (mittel, moderate load)</t>
  </si>
  <si>
    <t xml:space="preserve">Im Fortran-Listing XERP(J) = IL * 1,1 mit IL = 2; ausgegeben wird LOAD = IL minus 1 = 1.</t>
  </si>
  <si>
    <t xml:space="preserve">Mindestbedarf aller Probleme, Last 1</t>
  </si>
  <si>
    <t xml:space="preserve">Nettolast, Last 1 (Formel)</t>
  </si>
  <si>
    <t xml:space="preserve">Im Artikel -22. Negative Werte bedeuten, dass rechnerisch genug Energie vorhanden ist.</t>
  </si>
  <si>
    <t xml:space="preserve">Nettolast, Last 1 (gedruckter Wert)</t>
  </si>
  <si>
    <t xml:space="preserve">Energiebedarf je Problem, Last 2 (schwer, heavy load)</t>
  </si>
  <si>
    <t xml:space="preserve">Im Fortran-Listing XERP(J) = IL * 1,1 mit IL = 3; ausgegeben wird LOAD = IL minus 1 = 2.</t>
  </si>
  <si>
    <t xml:space="preserve">Mindestbedarf aller Probleme, Last 2</t>
  </si>
  <si>
    <t xml:space="preserve">Nettolast, Last 2 (Formel)</t>
  </si>
  <si>
    <t xml:space="preserve">Im Artikel 0. Negative Werte bedeuten, dass rechnerisch genug Energie vorhanden ist.</t>
  </si>
  <si>
    <t xml:space="preserve">Nettolast, Last 2 (gedruckter Wert)</t>
  </si>
  <si>
    <t xml:space="preserve">Zugangsstrukturen (access structure, Matrix A)</t>
  </si>
  <si>
    <t xml:space="preserve">0, 1, 2</t>
  </si>
  <si>
    <t xml:space="preserve">0 unsegmentiert, 1 hierarchisch, 2 spezialisiert</t>
  </si>
  <si>
    <t xml:space="preserve">S. 5 und 6</t>
  </si>
  <si>
    <t xml:space="preserve">Probleme zu Gelegenheiten. Matrizen im Blatt CMO_Strukturen.</t>
  </si>
  <si>
    <t xml:space="preserve">Entscheidungsstrukturen (decision structure, Matrix D)</t>
  </si>
  <si>
    <t xml:space="preserve">S. 6 und 7</t>
  </si>
  <si>
    <t xml:space="preserve">Entscheidungsträger zu Gelegenheiten. Das Fortran-Programm speichert D transponiert als IKA(Gelegenheit, Entscheidungsträger).</t>
  </si>
  <si>
    <t xml:space="preserve">Energieverteilungen</t>
  </si>
  <si>
    <t xml:space="preserve">0 Wichtige haben weniger Energie, 1 gleiche Energie, 2 Wichtige haben mehr Energie</t>
  </si>
  <si>
    <t xml:space="preserve">S. 7</t>
  </si>
  <si>
    <t xml:space="preserve">Wichtigkeit gilt über die Nummer des Entscheidungsträgers auch bei unsegmentierter oder spezialisierter Struktur (S. 7 und 8).</t>
  </si>
  <si>
    <t xml:space="preserve">Organisationstypen (Formel 3 hoch 4)</t>
  </si>
  <si>
    <t xml:space="preserve">S. 8</t>
  </si>
  <si>
    <t xml:space="preserve">Last, Zugang, Entscheidungsstruktur, Energieverteilung mit je drei Ausprägungen.</t>
  </si>
  <si>
    <t xml:space="preserve">Kombinationen der Eintrittsfolgen</t>
  </si>
  <si>
    <t xml:space="preserve">S. 5 und 8</t>
  </si>
  <si>
    <t xml:space="preserve">Zwei Folgen für Gelegenheiten mal zwei Folgen für Probleme; im Artikel nicht benannt, hier (a) und (b) wie auf S. 5.</t>
  </si>
  <si>
    <t xml:space="preserve">Simulationssituationen (Formel)</t>
  </si>
  <si>
    <t xml:space="preserve">Läufe</t>
  </si>
  <si>
    <t xml:space="preserve">Im Artikel 324. Das Modell ist deterministisch, jede Situation ist genau ein Lauf.</t>
  </si>
  <si>
    <t xml:space="preserve">Bewegungsbedingung NA</t>
  </si>
  <si>
    <t xml:space="preserve">Kodierung im Listing</t>
  </si>
  <si>
    <t xml:space="preserve">S. 17 und 19</t>
  </si>
  <si>
    <t xml:space="preserve">Alle Ergebnisse beruhen auf NA = 1 (Probleme und Entscheidungsträger bewegen sich). NA = 2 bis 4 sind im Listing vorgesehen, aber nicht berichtet.</t>
  </si>
  <si>
    <t xml:space="preserve">Ausgabesteuerung IO</t>
  </si>
  <si>
    <t xml:space="preserve">1 oder 2</t>
  </si>
  <si>
    <t xml:space="preserve">IO = 1 druckt nur die zehn Kennzahlen, IO = 2 zusätzlich die Verläufe. Entscheidungsstile lassen sich nur aus den Verläufen bestimmen.</t>
  </si>
  <si>
    <t xml:space="preserve">Anfangswert Energiebedarf einer Gelegenheit XERC(I)</t>
  </si>
  <si>
    <t xml:space="preserve">Listing S. 20</t>
  </si>
  <si>
    <t xml:space="preserve">Wird vor Periode 1 gesetzt. Er wirkt auf die Bewertung einer Gelegenheit in ihrer Eintrittsperiode, bevor ihr Bedarf erstmals aus angehängten Problemen berechnet wird. Für Ports als expliziter Parameter sinnvoll.</t>
  </si>
  <si>
    <t xml:space="preserve">Variierende Lösungskoeffizienten (Fußnote 3)</t>
  </si>
  <si>
    <t xml:space="preserve">1; 0,9; 0,7; 0,3; 0,1; 0,1; 0,3; 0,7; 0,9; 1; danach 10 mal 0,6</t>
  </si>
  <si>
    <t xml:space="preserve">Faktor je Periode 1 bis 20</t>
  </si>
  <si>
    <t xml:space="preserve">S. 5, Fn. 3</t>
  </si>
  <si>
    <t xml:space="preserve">Nur mit einer Kombination der Eintrittsfolgen gerechnet; laut Artikel mit allen Schlussfolgerungen konsistent, ohne Zahlen. Die im Anhang gedruckten Datenkarten (S. 24) enthalten genau diese Reihe und nicht die konstante 0,6.</t>
  </si>
  <si>
    <t xml:space="preserve">Zuordnung der Entscheidungsstile</t>
  </si>
  <si>
    <t xml:space="preserve">Konvention</t>
  </si>
  <si>
    <t xml:space="preserve">Resolution, Oversight, Flight</t>
  </si>
  <si>
    <t xml:space="preserve">Entscheidungen, bei denen ein Teil der Probleme abwandert und der Rest gelöst wird, zählen als Resolution. Die drei Stile sind je Entscheidung disjunkt und erschöpfend; Bezugsgröße sind die getroffenen Entscheidungen.</t>
  </si>
  <si>
    <t xml:space="preserve">Cohen, March und Olsen (1972): Strukturmatrizen, Energieverteilungen und Eintrittsfolgen</t>
  </si>
  <si>
    <t xml:space="preserve">Matrizen per Formel aus den Regeln erzeugt; sie entsprechen dem Druckbild S. 5 bis 7. Zeile = Problem i bzw. Entscheidungsträger i, Spalte = Gelegenheit j, 1 = zulässig.</t>
  </si>
  <si>
    <t xml:space="preserve">Regeln: A1 zulässig, wenn j größer oder gleich aufgerundet(i/2); A2 zulässig, wenn j gleich aufgerundet(i/2); D1 zulässig, wenn j größer oder gleich i; D2 zulässig, wenn j gleich i. Niedrige Nummern bedeuten hohe Wichtigkeit.</t>
  </si>
  <si>
    <t xml:space="preserve">Zugangsstrukturen (Probleme x Gelegenheiten)</t>
  </si>
  <si>
    <t xml:space="preserve">A0 unsegmentiert</t>
  </si>
  <si>
    <t xml:space="preserve">A1 hierarchisch</t>
  </si>
  <si>
    <t xml:space="preserve">A2 spezialisiert</t>
  </si>
  <si>
    <t xml:space="preserve">i \ j</t>
  </si>
  <si>
    <t xml:space="preserve">Entscheidungsstrukturen (Entscheidungsträger x Gelegenheiten)</t>
  </si>
  <si>
    <t xml:space="preserve">D0 unsegmentiert</t>
  </si>
  <si>
    <t xml:space="preserve">D1 hierarchisch</t>
  </si>
  <si>
    <t xml:space="preserve">D2 spezialisiert</t>
  </si>
  <si>
    <t xml:space="preserve">Energieverteilungen je Entscheidungsträger (S. 7)</t>
  </si>
  <si>
    <t xml:space="preserve">Entscheidungsträger</t>
  </si>
  <si>
    <t xml:space="preserve">Summe</t>
  </si>
  <si>
    <t xml:space="preserve">E0 Wichtige weniger</t>
  </si>
  <si>
    <t xml:space="preserve">E1 gleich</t>
  </si>
  <si>
    <t xml:space="preserve">E2 Wichtige mehr</t>
  </si>
  <si>
    <t xml:space="preserve">Eintrittsfolgen (S. 5) und daraus berechnete Eintrittsperioden</t>
  </si>
  <si>
    <t xml:space="preserve">Die Folgen nennen, welche Gelegenheit bzw. welches Problem in Periode 1, 2, ... eintritt. Eintrittsperiode je Gelegenheit = Position in der Folge; je Problem = Position aufgerundet halbiert (zwei Probleme je Periode).</t>
  </si>
  <si>
    <t xml:space="preserve">Position in der Folge</t>
  </si>
  <si>
    <t xml:space="preserve">Gelegenheiten Folge (a)</t>
  </si>
  <si>
    <t xml:space="preserve">Gelegenheiten Folge (b)</t>
  </si>
  <si>
    <t xml:space="preserve">Probleme Folge (a)</t>
  </si>
  <si>
    <t xml:space="preserve">Probleme Folge (b)</t>
  </si>
  <si>
    <t xml:space="preserve">Nummer (Gelegenheit bzw. Problem)</t>
  </si>
  <si>
    <t xml:space="preserve">Eintrittsperiode Gelegenheit, Folge (a) [ICH]</t>
  </si>
  <si>
    <t xml:space="preserve">Eintrittsperiode Gelegenheit, Folge (b)</t>
  </si>
  <si>
    <t xml:space="preserve">Eintrittsperiode Problem, Folge (a) [JET]</t>
  </si>
  <si>
    <t xml:space="preserve">Eintrittsperiode Problem, Folge (b)</t>
  </si>
  <si>
    <t xml:space="preserve">Datenkarten im Anhang (S. 24), am Scan gelesen</t>
  </si>
  <si>
    <t xml:space="preserve">Karte ICH (Gelegenheiten)</t>
  </si>
  <si>
    <t xml:space="preserve">Karte JET (Probleme)</t>
  </si>
  <si>
    <t xml:space="preserve">Abweichungen ICH zu Folge (a) (Formel)</t>
  </si>
  <si>
    <t xml:space="preserve">Abweichungen JET zu Folge (a) (Formel)</t>
  </si>
  <si>
    <t xml:space="preserve">Die Datenkarten entsprechen Folge (a). Weitere Karten: Lösungskoeffizienten der Fußnote 3 und die Steuerkarte NA = 1, IO = 2.</t>
  </si>
  <si>
    <t xml:space="preserve">Cohen, March und Olsen (1972): Kennzahlen des Fortran-Programms und ihre Verwendung</t>
  </si>
  <si>
    <t xml:space="preserve">Zählweisen am Scan des Listings (S. 20 bis 24) in hoher Auflösung gelesen. Der OCR-Text des PDF enthält an dieser Stelle Fehler.</t>
  </si>
  <si>
    <t xml:space="preserve">Fortran-Variable</t>
  </si>
  <si>
    <t xml:space="preserve">Bezeichnung im Anhang (S. 17, 18)</t>
  </si>
  <si>
    <t xml:space="preserve">Begriff im Artikel (S. 8, 9)</t>
  </si>
  <si>
    <t xml:space="preserve">Zählweise laut Listing</t>
  </si>
  <si>
    <t xml:space="preserve">Ausgabespalte</t>
  </si>
  <si>
    <t xml:space="preserve">Verwendet in</t>
  </si>
  <si>
    <t xml:space="preserve">KZ</t>
  </si>
  <si>
    <t xml:space="preserve">Choice failures</t>
  </si>
  <si>
    <t xml:space="preserve">Entscheidungsschwierigkeit, Maß 1 (Zahl nicht getroffener Entscheidungen)</t>
  </si>
  <si>
    <t xml:space="preserve">Zahl der Gelegenheiten, die in Periode 20 noch aktiv und nicht entschieden sind (Schleife DO 310 über Perioden 1 bis 20).</t>
  </si>
  <si>
    <t xml:space="preserve">Textwert S. 9 (Mittel 1,0); Wahlausfälle nach Wichtigkeit S. 11</t>
  </si>
  <si>
    <t xml:space="preserve">KY</t>
  </si>
  <si>
    <t xml:space="preserve">Choice persistence</t>
  </si>
  <si>
    <t xml:space="preserve">Entscheidungsschwierigkeit, verwendetes Maß 2 (im Abschnitt zu Eigenschaft 4 auch Entscheidungszeit)</t>
  </si>
  <si>
    <t xml:space="preserve">Summe der Perioden 1 bis 20, in denen eine Gelegenheit aktiv und nicht entschieden ist, über alle Gelegenheiten (DO 310 I=1,NTP).</t>
  </si>
  <si>
    <t xml:space="preserve">Tab. 2 Spalte 3; Tab. 5 Entscheidungszeit (vermutlich)</t>
  </si>
  <si>
    <t xml:space="preserve">Laut Artikel hoch korreliert mit KZ; gewählt wegen höherer Varianz.</t>
  </si>
  <si>
    <t xml:space="preserve">KX</t>
  </si>
  <si>
    <t xml:space="preserve">Decision maker velocity</t>
  </si>
  <si>
    <t xml:space="preserve">Aktivität der Entscheidungsträger, verwendetes Maß b</t>
  </si>
  <si>
    <t xml:space="preserve">Zahl der Wechsel der zugeordneten Gelegenheit zwischen aufeinanderfolgenden Perioden, Vergleich ab Periode 2 (DO 330 I=2,NTP). Wechsel zu oder von keiner Gelegenheit zählen mit.</t>
  </si>
  <si>
    <t xml:space="preserve">Tab. 2 Spalte 2; Tab. 5 Aktivität der Entscheidungsträger (vermutlich)</t>
  </si>
  <si>
    <t xml:space="preserve">Laut Artikel hoch korreliert mit den Maßen a, c, d.</t>
  </si>
  <si>
    <t xml:space="preserve">KW</t>
  </si>
  <si>
    <t xml:space="preserve">Problem failures</t>
  </si>
  <si>
    <t xml:space="preserve">Problemaktivität, Maß 1 (ungelöste Probleme am Ende)</t>
  </si>
  <si>
    <t xml:space="preserve">20 minus Zahl der Probleme mit Status gelöst in Periode 20 (DO 350 I=1,NTP, Auswertung bei I = NTP).</t>
  </si>
  <si>
    <t xml:space="preserve">Textwert S. 9 (Mittel 12,3)</t>
  </si>
  <si>
    <t xml:space="preserve">KV</t>
  </si>
  <si>
    <t xml:space="preserve">Problem velocity</t>
  </si>
  <si>
    <t xml:space="preserve">Problemaktivität, Maß 2 (Wechsel zwischen Gelegenheiten)</t>
  </si>
  <si>
    <t xml:space="preserve">Zahl der Änderungen des Problemstatus zwischen aufeinanderfolgenden Perioden ab Periode 2 (DO 370 I=2,NTP). Gezählt werden auch Eintritt, Anhängen, Ablösen und Lösen, nicht nur Wechsel zwischen Gelegenheiten.</t>
  </si>
  <si>
    <t xml:space="preserve">nicht berichtet</t>
  </si>
  <si>
    <t xml:space="preserve">Status je Periode: -1 nicht eingetreten, 0 aktiv ohne Gelegenheit, Nummer der Gelegenheit, 1000 gelöst.</t>
  </si>
  <si>
    <t xml:space="preserve">KU</t>
  </si>
  <si>
    <t xml:space="preserve">Problem latency</t>
  </si>
  <si>
    <t xml:space="preserve">Problemlatenz</t>
  </si>
  <si>
    <t xml:space="preserve">Summe der Perioden 1 bis 20, in denen ein Problem aktiv, aber keiner Gelegenheit zugeordnet ist (Status 0; DO 350 I=1,NTP).</t>
  </si>
  <si>
    <t xml:space="preserve">Tab. 5 Problemlatenz</t>
  </si>
  <si>
    <t xml:space="preserve">KT</t>
  </si>
  <si>
    <t xml:space="preserve">Problem persistence</t>
  </si>
  <si>
    <t xml:space="preserve">Problemaktivität, verwendetes Maß 3</t>
  </si>
  <si>
    <t xml:space="preserve">Summe der Perioden 1 bis 20, in denen ein Problem einer Gelegenheit zugeordnet ist (Status weder -1 noch 0 noch 1000; DO 350 I=1,NTP).</t>
  </si>
  <si>
    <t xml:space="preserve">Tab. 2 Spalte 1; Tab. 5 Problemaktivität</t>
  </si>
  <si>
    <t xml:space="preserve">Der OCR-Text des PDF zeigt fälschlich I=2 als Schleifenbeginn; der Scan zeigt I=1.</t>
  </si>
  <si>
    <t xml:space="preserve">KS</t>
  </si>
  <si>
    <t xml:space="preserve">Decision maker inactivity</t>
  </si>
  <si>
    <t xml:space="preserve">Komplement zu Maß a der Aktivität der Entscheidungsträger</t>
  </si>
  <si>
    <t xml:space="preserve">Zahl der Entscheidungsträger-Perioden ohne Zuordnung, in jeder Periode 1 bis 20 nach der Zuordnung gezählt.</t>
  </si>
  <si>
    <t xml:space="preserve">Maß a (Perioden mit Zuordnung) = 10 x 20 minus KS.</t>
  </si>
  <si>
    <t xml:space="preserve">XR</t>
  </si>
  <si>
    <t xml:space="preserve">Energy reserve</t>
  </si>
  <si>
    <t xml:space="preserve">Komplement zu Maß c (verfügbare und genutzte effektive Energie)</t>
  </si>
  <si>
    <t xml:space="preserve">Summe der effektiven Energie (Energie mal Lösungskoeffizient) nicht zugeordneter Entscheidungsträger über alle Perioden.</t>
  </si>
  <si>
    <t xml:space="preserve">Bei konstantem Koeffizienten 0,6 gilt Maß c = 66 minus XR.</t>
  </si>
  <si>
    <t xml:space="preserve">XS</t>
  </si>
  <si>
    <t xml:space="preserve">Energy wastage</t>
  </si>
  <si>
    <t xml:space="preserve">Maß d (Energie über dem Bedarf)</t>
  </si>
  <si>
    <t xml:space="preserve">Summe über getroffene Entscheidungen von eingesetzter minus benötigter effektiver Energie im Entscheidungszeitpunkt.</t>
  </si>
  <si>
    <t xml:space="preserve">(keine)</t>
  </si>
  <si>
    <t xml:space="preserve">nicht im Programm</t>
  </si>
  <si>
    <t xml:space="preserve">Entscheidungsstil: Resolution, Oversight, Flight (S. 8)</t>
  </si>
  <si>
    <t xml:space="preserve">Nicht ausgegeben. Muss aus den Verläufen (IO = 2) bestimmt werden: Resolution, wenn beim Entscheiden Probleme angehängt sind; Flight, wenn zuvor Probleme angehängt waren und abgewandert sind; sonst Oversight.</t>
  </si>
  <si>
    <t xml:space="preserve">Tab. 1; Tab. 2 Spalte 4; Tab. 4; Tab. 5</t>
  </si>
  <si>
    <t xml:space="preserve">Die Abgrenzung von Flight und Oversight über die Verlaufsdaten ist eine Interpretation der Definition auf S. 8 (vgl. Bendor, Moe und Shotts 2001).</t>
  </si>
  <si>
    <t xml:space="preserve">Ausgabezeile je Variante (FORMAT 1019, S. 24): LOAD, PR.ACC., DEC.STR., EN.DIST., danach KZ, KY, KX, KW, KV, KU, KT, KS, XR, XS.</t>
  </si>
  <si>
    <t xml:space="preserve">Schleifenreihenfolge (S. 20): Last außen, dann Zugangsstruktur, Entscheidungsstruktur, Energieverteilung innen.</t>
  </si>
  <si>
    <t xml:space="preserve">Organisationstyp-Code in Tab. 5: Ziffern in der Reihenfolge Last, Zugang, Entscheidungsstruktur, Energieverteilung (aus der Spezifikation S. 14 abgeleitet).</t>
  </si>
  <si>
    <t xml:space="preserve">Für Tab. 5 nennt der Artikel die verwendeten Maße nicht erneut; die Zuordnung zu KT, KU, KX und KY ist naheliegend, aber nicht ausdrücklich belegt.</t>
  </si>
  <si>
    <t xml:space="preserve">Tabelle 1: Anteil der getroffenen Entscheidungen, die Probleme lösen, nach Last und Zugangsstruktur</t>
  </si>
  <si>
    <t xml:space="preserve">Quelle: Cohen, March und Olsen (1972), S. 9. Mittel über die vier Kombinationen der Eintrittsfolgen. Werte am Scan geprüft.</t>
  </si>
  <si>
    <t xml:space="preserve">Last</t>
  </si>
  <si>
    <t xml:space="preserve">Alle Zugangsstrukturen</t>
  </si>
  <si>
    <t xml:space="preserve">Unsegmentiert</t>
  </si>
  <si>
    <t xml:space="preserve">Hierarchisch</t>
  </si>
  <si>
    <t xml:space="preserve">Spezialisiert</t>
  </si>
  <si>
    <t xml:space="preserve">Mittel der drei Strukturen (Formel)</t>
  </si>
  <si>
    <t xml:space="preserve">Differenz zu Alle (Formel)</t>
  </si>
  <si>
    <t xml:space="preserve">Leicht (Last 0)</t>
  </si>
  <si>
    <t xml:space="preserve">Mittel (Last 1)</t>
  </si>
  <si>
    <t xml:space="preserve">Schwer (Last 2)</t>
  </si>
  <si>
    <t xml:space="preserve">Alle Lasten</t>
  </si>
  <si>
    <t xml:space="preserve">Mittel der drei Lasten (Formel)</t>
  </si>
  <si>
    <t xml:space="preserve">Differenz zu Zeile Alle (Formel)</t>
  </si>
  <si>
    <t xml:space="preserve">leicht</t>
  </si>
  <si>
    <t xml:space="preserve">mittel</t>
  </si>
  <si>
    <t xml:space="preserve">schwer</t>
  </si>
  <si>
    <t xml:space="preserve">Komplement 1 minus Alle (Formel), entspricht Tab. 2 Spalte 4</t>
  </si>
  <si>
    <t xml:space="preserve">Die Rand- und Gesamtwerte stimmen bis auf Rundung mit dem ungewichteten Mittel der Zellen überein. Ob intern über Läufe oder über gepoolte Entscheidungen gemittelt wurde, nennt der Artikel nicht.</t>
  </si>
  <si>
    <t xml:space="preserve">Läufe je Zelle aus dem Versuchsplan: 3 Entscheidungsstrukturen x 3 Energieverteilungen x 4 Eintrittsfolgen = 36; Randzeilen und Randspalten 108; gesamt 324.</t>
  </si>
  <si>
    <t xml:space="preserve">Spalte unsegmentiert zeigt einen nicht monotonen Lastverlauf. Laut Eigenschaft 1 (S. 9) ist Resolution nur bei spezialisiertem Zugang oder einigen Bedingungen leichter Last der häufigste Stil.</t>
  </si>
  <si>
    <t xml:space="preserve">Tabelle 2: Wirkung der Last unter den vier Kombinationen der Eintrittsfolgen</t>
  </si>
  <si>
    <t xml:space="preserve">Quelle: Cohen, March und Olsen (1972), S. 10. Mittel über alle 27 Strukturkombinationen und vier Eintrittsfolgen je Last. Werte am Scan geprüft.</t>
  </si>
  <si>
    <t xml:space="preserve">Mittlere Problemaktivität (KT)</t>
  </si>
  <si>
    <t xml:space="preserve">Mittlere Aktivität der Entscheidungsträger (KX)</t>
  </si>
  <si>
    <t xml:space="preserve">Mittlere Entscheidungsschwierigkeit (KY)</t>
  </si>
  <si>
    <t xml:space="preserve">Anteil Entscheidungen durch Flight oder Oversight</t>
  </si>
  <si>
    <t xml:space="preserve">1 minus Tab. 1 Alle (Formel)</t>
  </si>
  <si>
    <t xml:space="preserve">Differenz (Formel)</t>
  </si>
  <si>
    <t xml:space="preserve">Spalte 4 ist das Komplement der Spalte Alle aus Tabelle 1; die Differenz ist 0.</t>
  </si>
  <si>
    <t xml:space="preserve">Problemaktivität, Aktivität der Entscheidungsträger und Entscheidungsschwierigkeit steigen monoton mit der Last; der Anteil Flight oder Oversight nicht.</t>
  </si>
  <si>
    <t xml:space="preserve">Messgrößen laut S. 8 und 9: Problemaktivität = KT, Aktivität der Entscheidungsträger = KX, Entscheidungsschwierigkeit = KY (siehe Blatt CMO_Kennzahlen).</t>
  </si>
  <si>
    <t xml:space="preserve">Tabellen 3 und 4 sowie Wahlausfälle nach Wichtigkeit</t>
  </si>
  <si>
    <t xml:space="preserve">Quelle: Cohen, March und Olsen (1972), S. 10 und 11. Werte am Scan geprüft. Zellbesetzungen per Formel aus den Eintrittsfolgen berechnet.</t>
  </si>
  <si>
    <t xml:space="preserve">Tabelle 3: Anteil gelöster Probleme nach Wichtigkeit und Ankunft (nur hierarchischer Zugang)</t>
  </si>
  <si>
    <t xml:space="preserve">Wichtigkeit des Problems</t>
  </si>
  <si>
    <t xml:space="preserve">Früh (erste 10 Probleme)</t>
  </si>
  <si>
    <t xml:space="preserve">Spät (letzte 10 Probleme)</t>
  </si>
  <si>
    <t xml:space="preserve">Zellbesetzung (Probleme je Zelle)</t>
  </si>
  <si>
    <t xml:space="preserve">Folge (a)</t>
  </si>
  <si>
    <t xml:space="preserve">Folge (b)</t>
  </si>
  <si>
    <t xml:space="preserve">Hoch (Probleme 1 bis 10)</t>
  </si>
  <si>
    <t xml:space="preserve">hoch, früh</t>
  </si>
  <si>
    <t xml:space="preserve">Niedrig (Probleme 11 bis 20)</t>
  </si>
  <si>
    <t xml:space="preserve">hoch, spät</t>
  </si>
  <si>
    <t xml:space="preserve">niedrig, früh</t>
  </si>
  <si>
    <t xml:space="preserve">niedrig, spät</t>
  </si>
  <si>
    <t xml:space="preserve">Früh = Probleme mit Eintritt in den Perioden 1 bis 5. Über beide Problemfolgen gepoolt ist jede Zelle gleich besetzt (je 10 Probleme pro Paar von Läufen).</t>
  </si>
  <si>
    <t xml:space="preserve">Laut Text entsteht so eine Warteschlange nach Wichtigkeit zulasten später, wenig wichtiger Probleme, besonders bei schwerer Last; sie ist nicht als Annahme vorgegeben.</t>
  </si>
  <si>
    <t xml:space="preserve">Tabelle 4: Anteil der Entscheidungen durch Flight oder Oversight nach Wichtigkeit und Ankunft</t>
  </si>
  <si>
    <t xml:space="preserve">(nur Läufe mit hierarchischem Zugang oder hierarchischer Entscheidungsstruktur)</t>
  </si>
  <si>
    <t xml:space="preserve">Wichtigkeit der Entscheidung</t>
  </si>
  <si>
    <t xml:space="preserve">Früh (erste 5 Gelegenheiten)</t>
  </si>
  <si>
    <t xml:space="preserve">Spät (letzte 5 Gelegenheiten)</t>
  </si>
  <si>
    <t xml:space="preserve">Zellbesetzung (Gelegenheiten je Zelle)</t>
  </si>
  <si>
    <t xml:space="preserve">Hoch (Gelegenheiten 1 bis 5)</t>
  </si>
  <si>
    <t xml:space="preserve">Niedrig (Gelegenheiten 6 bis 10)</t>
  </si>
  <si>
    <t xml:space="preserve">Beide Folgen der Gelegenheiten haben dieselbe Besetzung (2, 3, 3, 2). Die Zelle hoch und früh beruht also auf je zwei Gelegenheiten pro Lauf.</t>
  </si>
  <si>
    <t xml:space="preserve">Wahlausfälle nach Wichtigkeit (hierarchischer Zugang oder hierarchische Entscheidungsstruktur)</t>
  </si>
  <si>
    <t xml:space="preserve">Gruppe von Entscheidungen</t>
  </si>
  <si>
    <t xml:space="preserve">Anteil nicht getroffen</t>
  </si>
  <si>
    <t xml:space="preserve">Drei wichtigste (Gelegenheiten 1 bis 3)</t>
  </si>
  <si>
    <t xml:space="preserve">Vier mittlere (Gelegenheiten 4 bis 7)</t>
  </si>
  <si>
    <t xml:space="preserve">Drei unwichtigste (Gelegenheiten 8 bis 10)</t>
  </si>
  <si>
    <t xml:space="preserve">Hochschultypen: Spezifikation (S. 14) und Tabelle 5 (S. 17), Wirkung von Knappheit</t>
  </si>
  <si>
    <t xml:space="preserve">Quelle: Cohen, March und Olsen (1972). Werte am Scan geprüft. Organisationstyp-Code = Last, Zugang, Entscheidungsstruktur, Energieverteilung.</t>
  </si>
  <si>
    <t xml:space="preserve">Spezifikation der vier Hochschultypen unter guten Bedingungen (S. 14)</t>
  </si>
  <si>
    <t xml:space="preserve">Hochschultyp</t>
  </si>
  <si>
    <t xml:space="preserve">Zugang</t>
  </si>
  <si>
    <t xml:space="preserve">Entscheidungsstruktur</t>
  </si>
  <si>
    <t xml:space="preserve">Energieverteilung</t>
  </si>
  <si>
    <t xml:space="preserve">Code (Formel)</t>
  </si>
  <si>
    <t xml:space="preserve">Groß, reich</t>
  </si>
  <si>
    <t xml:space="preserve">Groß, arm</t>
  </si>
  <si>
    <t xml:space="preserve">Klein, reich</t>
  </si>
  <si>
    <t xml:space="preserve">Klein, arm</t>
  </si>
  <si>
    <t xml:space="preserve">Wortlaut der Ausprägungen im Artikel: Last light/moderate; Zugang und Entscheidungsstruktur unsegmented/hierarchical/specialized; Energie less/equal/more (Wichtige mit weniger, gleicher, mehr Energie).</t>
  </si>
  <si>
    <t xml:space="preserve">Tabelle 5: Wirkung von Knappheit auf vier Hochschultypen (S. 17)</t>
  </si>
  <si>
    <t xml:space="preserve">Situation</t>
  </si>
  <si>
    <t xml:space="preserve">Organisationstyp (Code)</t>
  </si>
  <si>
    <t xml:space="preserve">Energie</t>
  </si>
  <si>
    <t xml:space="preserve">Anteil Resolution</t>
  </si>
  <si>
    <t xml:space="preserve">Problemaktivität</t>
  </si>
  <si>
    <t xml:space="preserve">Aktivität der Entscheidungsträger</t>
  </si>
  <si>
    <t xml:space="preserve">Entscheidungszeit</t>
  </si>
  <si>
    <t xml:space="preserve">Gute Zeiten</t>
  </si>
  <si>
    <t xml:space="preserve">0200</t>
  </si>
  <si>
    <t xml:space="preserve">Schlechte Zeiten, früh</t>
  </si>
  <si>
    <t xml:space="preserve">1110</t>
  </si>
  <si>
    <t xml:space="preserve">Schlechte Zeiten, spät</t>
  </si>
  <si>
    <t xml:space="preserve">0111</t>
  </si>
  <si>
    <t xml:space="preserve">1112</t>
  </si>
  <si>
    <t xml:space="preserve">2112</t>
  </si>
  <si>
    <t xml:space="preserve">1111</t>
  </si>
  <si>
    <t xml:space="preserve">0002</t>
  </si>
  <si>
    <t xml:space="preserve">1002</t>
  </si>
  <si>
    <t xml:space="preserve">0001</t>
  </si>
  <si>
    <t xml:space="preserve">1221</t>
  </si>
  <si>
    <t xml:space="preserve">2211</t>
  </si>
  <si>
    <t xml:space="preserve">1211</t>
  </si>
  <si>
    <t xml:space="preserve">Ob Tab. 5 über die vier Eintrittsfolgen mittelt, steht nicht in der Überschrift. Anteile wie 0,68, 0,21 und 0,65 sind mit 8 bis 10 getroffenen Entscheidungen in einem Einzellauf nicht erreichbar; das spricht für eine Mittelung.</t>
  </si>
  <si>
    <t xml:space="preserve">Die Spalten D bis G zerlegen den Code per Formel; die Codes der guten Zeiten stimmen mit der Spezifikation oben überein (Prüfung im Blatt Pruefungen).</t>
  </si>
  <si>
    <t xml:space="preserve">Zahlenangaben im Fließtext von Cohen, March und Olsen (1972)</t>
  </si>
  <si>
    <t xml:space="preserve">Werte am Scan geprüft. Prüfspalte rechnet die Aussage aus den Tabellenwerten nach.</t>
  </si>
  <si>
    <t xml:space="preserve">Aussage im Text (Paraphrase)</t>
  </si>
  <si>
    <t xml:space="preserve">Einheit</t>
  </si>
  <si>
    <t xml:space="preserve">Nachrechnung aus Tabellen (Formel)</t>
  </si>
  <si>
    <t xml:space="preserve">Bewertung</t>
  </si>
  <si>
    <t xml:space="preserve">Mittlere Zahl nicht getroffener Entscheidungen je Lauf (10 Gelegenheiten)</t>
  </si>
  <si>
    <t xml:space="preserve">Entscheidungen</t>
  </si>
  <si>
    <t xml:space="preserve">S. 9</t>
  </si>
  <si>
    <t xml:space="preserve">keine Tabelle</t>
  </si>
  <si>
    <t xml:space="preserve">Mittel von KZ über 324 Läufe.</t>
  </si>
  <si>
    <t xml:space="preserve">Mittlere Zahl ungelöster Probleme je Lauf (20 Probleme)</t>
  </si>
  <si>
    <t xml:space="preserve">Probleme</t>
  </si>
  <si>
    <t xml:space="preserve">Mittel von KW über 324 Läufe.</t>
  </si>
  <si>
    <t xml:space="preserve">Groß, reich: Anteil Resolution in guten Zeiten</t>
  </si>
  <si>
    <t xml:space="preserve">Prozent</t>
  </si>
  <si>
    <t xml:space="preserve">S. 14</t>
  </si>
  <si>
    <t xml:space="preserve">Stimmt mit Tab. 5 überein.</t>
  </si>
  <si>
    <t xml:space="preserve">Groß, reich: Anteil Resolution zu Beginn der Knappheit</t>
  </si>
  <si>
    <t xml:space="preserve">Groß, reich, späte Knappheit: Resolution verdreifacht sich</t>
  </si>
  <si>
    <t xml:space="preserve">Faktor 3</t>
  </si>
  <si>
    <t xml:space="preserve">Faktor</t>
  </si>
  <si>
    <t xml:space="preserve">S. 15</t>
  </si>
  <si>
    <t xml:space="preserve">Nachgerechnet 0,65 / 0,21.</t>
  </si>
  <si>
    <t xml:space="preserve">Groß, reich, späte Knappheit: Problemaktivität sinkt um fast drei Viertel</t>
  </si>
  <si>
    <t xml:space="preserve">fast 0,75</t>
  </si>
  <si>
    <t xml:space="preserve">Rückgang</t>
  </si>
  <si>
    <t xml:space="preserve">Nachgerechnet 1 minus 57 / 210.</t>
  </si>
  <si>
    <t xml:space="preserve">Groß, reich, späte Knappheit: Entscheidungszeit sinkt um mehr als die Hälfte</t>
  </si>
  <si>
    <t xml:space="preserve">mehr als 0,5</t>
  </si>
  <si>
    <t xml:space="preserve">Nachgerechnet 1 minus 14 / 34.</t>
  </si>
  <si>
    <t xml:space="preserve">Acht Eigenschaften des Garbage-Can-Prozesses (S. 9 bis 11) als relationale Docking-Ziele</t>
  </si>
  <si>
    <t xml:space="preserve">Paraphrasen, keine Zitate. Spalte F enthält eigene Vorschläge zur Operationalisierung; Spalte G ist zum Eintragen eigener Ergebnisse gedacht (gelb).</t>
  </si>
  <si>
    <t xml:space="preserve">Nr.</t>
  </si>
  <si>
    <t xml:space="preserve">Eigenschaft (Paraphrase)</t>
  </si>
  <si>
    <t xml:space="preserve">Beleg im Artikel</t>
  </si>
  <si>
    <t xml:space="preserve">Status in Fioretti und Lomi 2008</t>
  </si>
  <si>
    <t xml:space="preserve">Vorschlag zur Operationalisierung (eigener Vorschlag)</t>
  </si>
  <si>
    <t xml:space="preserve">Ergebnis eigenes Modell (eintragen)</t>
  </si>
  <si>
    <t xml:space="preserve">Resolution ist nicht der häufigste Entscheidungsstil. Ausnahmen sind Bedingungen mit stark eingeschränkter Flight, etwa spezialisierter Zugang, und einige Bedingungen mit leichter Last. Flight und Oversight prägen den Prozess.</t>
  </si>
  <si>
    <t xml:space="preserve">Tab. 1; Textwerte 1,0 und 12,3</t>
  </si>
  <si>
    <t xml:space="preserve">Bestätigt (FL-Nr. 1, Abs. 6.5 bis 6.8). In FL gilt die Oversight-Dominanz sogar für jede Parameterkonfiguration.</t>
  </si>
  <si>
    <t xml:space="preserve">Je Zelle von Tab. 1 prüfen, ob der Resolution-Anteil unter 0,5 liegt; erwartet: Ausnahmen bei spezialisiertem Zugang und leichter Last (Werte ab 0,5: leicht gesamt, leicht hierarchisch, leicht spezialisiert, mittel spezialisiert, schwer spezialisiert).</t>
  </si>
  <si>
    <t xml:space="preserve">Der Prozess reagiert durchgängig auf die Last. Mehr Nettolast erhöht im Allgemeinen Problemaktivität, Aktivität der Entscheidungsträger, Entscheidungsschwierigkeit sowie Flight und Oversight. Eine Organisation mit unsegmentiertem Zugang und spezialisierter Entscheidungsstruktur bleibt bei Laständerungen stabil, löst aber praktisch keine Probleme.</t>
  </si>
  <si>
    <t xml:space="preserve">Tab. 2; Text S. 9</t>
  </si>
  <si>
    <t xml:space="preserve">Bestätigt (FL-Nr. 2). Die Stabilitätsaussage zu unsegmentiertem Zugang mit spezialisierter Entscheidungsstruktur wird nicht bestätigt (Abs. 6.16).</t>
  </si>
  <si>
    <t xml:space="preserve">Vorzeichen der Differenzen leicht zu mittel zu schwer je Kennzahl, zusätzlich je Strukturkombination (27). Beachten: Der Anteil Flight oder Oversight ist schon in Tab. 2 nicht monoton.</t>
  </si>
  <si>
    <t xml:space="preserve">Entscheidungsträger und Probleme folgen einander durch die Gelegenheiten. Beteiligte haben den Eindruck, immer an denselben Problemen zu arbeiten.</t>
  </si>
  <si>
    <t xml:space="preserve">S. 10</t>
  </si>
  <si>
    <t xml:space="preserve">nur verbal</t>
  </si>
  <si>
    <t xml:space="preserve">Bestätigt (FL-Nr. 4, Abs. 6.22 bis 6.33), dort als emergente Eigenschaft über Déjà-vu-Anteile (Abb. 18).</t>
  </si>
  <si>
    <t xml:space="preserve">Anteil der Perioden, in denen ein Entscheidungsträger an derselben Gelegenheit wie ein bestimmtes Problem arbeitet, oder Wiederbegegnungsquote nach FL Gl. 6 bis 8.</t>
  </si>
  <si>
    <t xml:space="preserve">Zielkonflikt zwischen Problemaktivität, Problemlatenz und Entscheidungsdauer. Segmentierter Zugang senkt die Zahl aktiver ungelöster Probleme, erhöht aber Latenz und meist die Entscheidungsdauer. Segmentierte Entscheidungsstruktur senkt die Latenz, erhöht aber Problemaktivität und Entscheidungsdauer. Kein Strukturtyp hält Aktivität und Latenz gleichzeitig niedrig.</t>
  </si>
  <si>
    <t xml:space="preserve">Teilweise (FL-Nr. 3 bestätigt; Einzelbefunde zu Latenz, ungelösten Problemen und Wartezeit weichen ab, Abs. 6.20, Blatt FL_Befunde).</t>
  </si>
  <si>
    <t xml:space="preserve">Vorzeichen der Wirkung von Zugang 0 gegen 1 und 2 sowie Entscheidungsstruktur 0 gegen 1 und 2 auf KT, KU und KY, gemittelt über Last, Energie und Eintrittsfolgen.</t>
  </si>
  <si>
    <t xml:space="preserve">Der Prozess ist stark interaktiv. Einige Effekte wie die Last wirken fast überall, andere hängen von der Strukturkombination ab. Beispiel: spezialisierter Zugang mit unsegmentierter Entscheidungsstruktur entscheidet schnell, obwohl stark segmentierter Zugang sonst langsam macht.</t>
  </si>
  <si>
    <t xml:space="preserve">Nicht bestätigt (FL-Nr. 8, Abs. 6.5).</t>
  </si>
  <si>
    <t xml:space="preserve">Interaktionsterm Zugang x Entscheidungsstruktur für KY, zum Beispiel per zweifaktorieller Varianzanalyse über die 324 Läufe; Einzelfall Zugang 2 mit Entscheidung 0.</t>
  </si>
  <si>
    <t xml:space="preserve">Wichtige Probleme werden eher gelöst als unwichtige, früh eintreffende eher als späte. Das Modell erzeugt eine Warteschlange nach Wichtigkeit zulasten später, unwichtiger Probleme, besonders bei schwerer Last.</t>
  </si>
  <si>
    <t xml:space="preserve">Tab. 3</t>
  </si>
  <si>
    <t xml:space="preserve">Nicht bestätigt (FL-Nr. 7, Abs. 6.5).</t>
  </si>
  <si>
    <t xml:space="preserve">Rangfolge der vier Zellen von Tab. 3; erwartet: niedrig und spät deutlich am kleinsten. Zusätzlich nach Last aufschlüsseln.</t>
  </si>
  <si>
    <t xml:space="preserve">Wichtige Entscheidungen lösen seltener Probleme als unwichtige. Wichtige entstehen durch Oversight und Flight, unwichtige durch Resolution. Am deutlichsten, wenn wichtige Entscheidungen früh eintreffen.</t>
  </si>
  <si>
    <t xml:space="preserve">S. 10 und 11</t>
  </si>
  <si>
    <t xml:space="preserve">Tab. 4</t>
  </si>
  <si>
    <t xml:space="preserve">Bestätigt (FL-Nr. 5, Abs. 6.34 bis 6.42, Abb. 19).</t>
  </si>
  <si>
    <t xml:space="preserve">Rangfolge der vier Zellen von Tab. 4; erwartet: hoch und früh am größten.</t>
  </si>
  <si>
    <t xml:space="preserve">Die meisten Entscheidungen werden getroffen. Ausfälle konzentrieren sich auf die wichtigsten und die unwichtigsten Entscheidungen; mittlere werden fast immer getroffen.</t>
  </si>
  <si>
    <t xml:space="preserve">S. 11</t>
  </si>
  <si>
    <t xml:space="preserve">Liste S. 11</t>
  </si>
  <si>
    <t xml:space="preserve">Nicht bestätigt (FL-Nr. 6, Abs. 6.5).</t>
  </si>
  <si>
    <t xml:space="preserve">U-Form der Ausfallanteile: oberste drei und unterste drei jeweils größer als mittlere vier.</t>
  </si>
  <si>
    <t xml:space="preserve">Die Zuordnung der FL-Nummern zu den CMO-Nummern ist eine eigene Lesart, weil Fioretti und Lomi (Abs. 6.1) die Eigenschaften in anderer Reihenfolge und teils anders formulieren.</t>
  </si>
  <si>
    <t xml:space="preserve">Fioretti und Lomi (2008): Parameter, Basiswerte und Versuchsaufbau je Abbildung</t>
  </si>
  <si>
    <t xml:space="preserve">Quelle: JASSS 11(1) 1. Fundstellen als Absatznummern (Abs.), da die Online-Fassung keine Seitenzahlen hat.</t>
  </si>
  <si>
    <t xml:space="preserve">Bereich</t>
  </si>
  <si>
    <t xml:space="preserve">CMO-Werte laut FL</t>
  </si>
  <si>
    <t xml:space="preserve">Energie der Teilnehmer im Original</t>
  </si>
  <si>
    <t xml:space="preserve">0,55</t>
  </si>
  <si>
    <t xml:space="preserve">Abs. 6.2</t>
  </si>
  <si>
    <t xml:space="preserve">FL nennen die gleiche Energie für alle Teilnehmer (Verteilung E1).</t>
  </si>
  <si>
    <t xml:space="preserve">Lösungskoeffizient im Original</t>
  </si>
  <si>
    <t xml:space="preserve">0,6</t>
  </si>
  <si>
    <t xml:space="preserve">Schwierigkeit der Probleme im Original</t>
  </si>
  <si>
    <t xml:space="preserve">1,1; 2,2; 3,3</t>
  </si>
  <si>
    <t xml:space="preserve">Basiswerte</t>
  </si>
  <si>
    <t xml:space="preserve">Energie (Fähigkeit) aller Teilnehmer</t>
  </si>
  <si>
    <t xml:space="preserve">1,0</t>
  </si>
  <si>
    <t xml:space="preserve">Abs. 6.3</t>
  </si>
  <si>
    <t xml:space="preserve">Wie im Original sind mindestens zwei Teilnehmer nötig, um ein Problem zu lösen.</t>
  </si>
  <si>
    <t xml:space="preserve">Effizienz aller Lösungen</t>
  </si>
  <si>
    <t xml:space="preserve">1</t>
  </si>
  <si>
    <t xml:space="preserve">Schwierigkeit aller Probleme</t>
  </si>
  <si>
    <t xml:space="preserve">1,5</t>
  </si>
  <si>
    <t xml:space="preserve">Simulationsschritte</t>
  </si>
  <si>
    <t xml:space="preserve">200</t>
  </si>
  <si>
    <t xml:space="preserve">Statt 20 im Original.</t>
  </si>
  <si>
    <t xml:space="preserve">Teilnehmer</t>
  </si>
  <si>
    <t xml:space="preserve">100, kein Austritt</t>
  </si>
  <si>
    <t xml:space="preserve">Statt 10.</t>
  </si>
  <si>
    <t xml:space="preserve">Gelegenheiten</t>
  </si>
  <si>
    <t xml:space="preserve">200, Eintritt in den ersten 100 Schritten, Austritt nach Entscheidung</t>
  </si>
  <si>
    <t xml:space="preserve">Abs. 6.3, 6.4</t>
  </si>
  <si>
    <t xml:space="preserve">Statt 10. Höherer Anteil, weil Gelegenheiten nicht deterministisch gewählt werden.</t>
  </si>
  <si>
    <t xml:space="preserve">Lösungen und Probleme</t>
  </si>
  <si>
    <t xml:space="preserve">in einigen Experimenten 100 Lösungen ohne Austritt und 400 Probleme mit Eintritt in den ersten 100 Schritten und Austritt nach Lösung</t>
  </si>
  <si>
    <t xml:space="preserve">Der Text lässt offen, welche Experimente genau dazu gehören. Die Achsen von Abb. 15 bis 17 (bis 400 ungelöste Probleme) zeigen, dass dort 400 Probleme verwendet wurden.</t>
  </si>
  <si>
    <t xml:space="preserve">Entscheidungsregel</t>
  </si>
  <si>
    <t xml:space="preserve">Resolution</t>
  </si>
  <si>
    <t xml:space="preserve">Summe der Fähigkeiten auf dem Feld mal maximale Effizienz der Lösungen auf dem Feld mindestens gleich Summe der Schwierigkeiten (Gl. 5)</t>
  </si>
  <si>
    <t xml:space="preserve">Abs. 4.7</t>
  </si>
  <si>
    <t xml:space="preserve">Oversight: Teilnehmer, Gelegenheit und Lösung auf einem Feld ohne Problem. Sonst blockiert; Flight durch eintreffende Gelegenheit, die das schwierigste Problem mitnimmt.</t>
  </si>
  <si>
    <t xml:space="preserve">Strukturen</t>
  </si>
  <si>
    <t xml:space="preserve">Entscheidungs- und Zugangsstruktur</t>
  </si>
  <si>
    <t xml:space="preserve">Abs. 4.4</t>
  </si>
  <si>
    <t xml:space="preserve">Wichtigkeit über die Identifikationsnummer; niedrige Nummern sind wichtiger (Abs. 5.5).</t>
  </si>
  <si>
    <t xml:space="preserve">dist-energy-par, dist-efficiency, dist-energy-pro</t>
  </si>
  <si>
    <t xml:space="preserve">0 nach steigender Wichtigkeit, 1 gleichverteilt zufällig, 2 nach fallender Wichtigkeit</t>
  </si>
  <si>
    <t xml:space="preserve">Abs. 4.6</t>
  </si>
  <si>
    <t xml:space="preserve">Gleiche Werte für alle wie im Original über min gleich max.</t>
  </si>
  <si>
    <t xml:space="preserve">Experiment Abb. 12, 13</t>
  </si>
  <si>
    <t xml:space="preserve">Aufbau</t>
  </si>
  <si>
    <t xml:space="preserve">Abs. 6.6 bis 6.9</t>
  </si>
  <si>
    <t xml:space="preserve">Mittel über 100 Läufe.</t>
  </si>
  <si>
    <t xml:space="preserve">Experiment Abb. 14</t>
  </si>
  <si>
    <t xml:space="preserve">Basiswerte, Problemschwierigkeit 0,5 bis 2,5</t>
  </si>
  <si>
    <t xml:space="preserve">Abs. 6.11 bis 6.15</t>
  </si>
  <si>
    <t xml:space="preserve">Indexwerte, Schwierigkeit 0,5 = 100; logarithmische Achse; Mittel über 100 Läufe.</t>
  </si>
  <si>
    <t xml:space="preserve">Experiment Abb. 15 bis 17</t>
  </si>
  <si>
    <t xml:space="preserve">Basiswerte mit Schwierigkeit 0,5 (Abb. 15), 1,5 (Abb. 16), 2,5 (Abb. 17); alle 3 x 3 Strukturkombinationen</t>
  </si>
  <si>
    <t xml:space="preserve">Abs. 6.17 bis 6.21</t>
  </si>
  <si>
    <t xml:space="preserve">Experiment Abb. 18</t>
  </si>
  <si>
    <t xml:space="preserve">200 Schritte; je 200 anfängliche Teilnehmer, Gelegenheiten, Lösungen und Probleme; keine Zu- oder Abflüsse außer Austritt von Gelegenheiten, Lösungen und Problemen nach Entscheidungen; unsegmentierte Strukturen; Basis-Energien</t>
  </si>
  <si>
    <t xml:space="preserve">Abs. 6.25 bis 6.31</t>
  </si>
  <si>
    <t xml:space="preserve">Mittel über 100 Läufe. Weicht bewusst von den Basiswerten ab.</t>
  </si>
  <si>
    <t xml:space="preserve">Experiment Abb. 19</t>
  </si>
  <si>
    <t xml:space="preserve">100 Teilnehmer, 200 Gelegenheiten, 100 Lösungen, 400 Probleme; keine exogenen Flüsse; Gelegenheiten und Probleme treten nach Entscheidungen aus; Energie 0 bis 2 nach Wichtigkeit (wichtigste Teilnehmer am fähigsten, wichtigste Probleme am schwierigsten); Effizienz 1; Laufzeit 100, 200, 400, 800 Schritte</t>
  </si>
  <si>
    <t xml:space="preserve">Abs. 6.36 bis 6.39</t>
  </si>
  <si>
    <t xml:space="preserve">Mittel über 100 Läufe. Konfigurationen mit spezialisierter Struktur nicht auswertbar, da zu wenige Resolutionen.</t>
  </si>
  <si>
    <t xml:space="preserve">Code</t>
  </si>
  <si>
    <t xml:space="preserve">Verfügbarkeit</t>
  </si>
  <si>
    <t xml:space="preserve">NetLogo, GNU GPL, NetLogo User Community Models</t>
  </si>
  <si>
    <t xml:space="preserve">Abs. 4.1</t>
  </si>
  <si>
    <t xml:space="preserve">Das aktuelle Modell von Fioretti weicht ab (Blatt Fioretti_aktuell).</t>
  </si>
  <si>
    <t xml:space="preserve">Übersetzung der Kennzahlen: Cohen, March und Olsen (1972) zu Fioretti und Lomi (2008)</t>
  </si>
  <si>
    <t xml:space="preserve">Quelle: FL 2008, Abs. 5.1 bis 5.5 und 6.11. Vergleichbarkeit laut FL; die Bewertungsspalte ist eine eigene Einordnung.</t>
  </si>
  <si>
    <t xml:space="preserve">CMO-Kennzahl</t>
  </si>
  <si>
    <t xml:space="preserve">FL-Indikator</t>
  </si>
  <si>
    <t xml:space="preserve">Definition in FL (Paraphrase)</t>
  </si>
  <si>
    <t xml:space="preserve">Vergleichbarkeit laut FL</t>
  </si>
  <si>
    <t xml:space="preserve">Einordnung für das Docking (eigene Einschätzung)</t>
  </si>
  <si>
    <t xml:space="preserve">Wechsel der Probleme zwischen Gelegenheiten</t>
  </si>
  <si>
    <t xml:space="preserve">Problem Jumps</t>
  </si>
  <si>
    <t xml:space="preserve">Zahl der Sprünge eines Problems von einer Gelegenheit zu einer anderen; entspricht in FL der Zahl der Flights.</t>
  </si>
  <si>
    <t xml:space="preserve">Grundsätzlich verschieden, weil Probleme bei CMO im Block wandern.</t>
  </si>
  <si>
    <t xml:space="preserve">Nur qualitativ vergleichen.</t>
  </si>
  <si>
    <t xml:space="preserve">Problem Bindings</t>
  </si>
  <si>
    <t xml:space="preserve">Zeit, in der ein Problem nicht gelöst werden kann, weil es in einem blockierten Prozess steckt oder mit einer Gelegenheit wegfliegt; Summe über Probleme.</t>
  </si>
  <si>
    <t xml:space="preserve">Übertragung der Idee, ein Problem sei an eine Gelegenheit gebunden, ohne gelöst zu werden.</t>
  </si>
  <si>
    <t xml:space="preserve">Richtung vergleichbar, Niveau nicht.</t>
  </si>
  <si>
    <t xml:space="preserve">Problem Latency</t>
  </si>
  <si>
    <t xml:space="preserve">Zeit eines Problems in der Organisation ohne Bindung an eine Gelegenheit; Summe über Probleme.</t>
  </si>
  <si>
    <t xml:space="preserve">Aktiv wird als in der Organisation anwesend gelesen.</t>
  </si>
  <si>
    <t xml:space="preserve">Richtung vergleichbar.</t>
  </si>
  <si>
    <t xml:space="preserve">Ungelöste Probleme am Ende</t>
  </si>
  <si>
    <t xml:space="preserve">Unsolved Problems</t>
  </si>
  <si>
    <t xml:space="preserve">Zahl der Probleme in der Organisation am Ende; nur sinnvoll, wenn gelöste Probleme austreten.</t>
  </si>
  <si>
    <t xml:space="preserve">Direkte Übertragung.</t>
  </si>
  <si>
    <t xml:space="preserve">Am ehesten vergleichbar.</t>
  </si>
  <si>
    <t xml:space="preserve">Wechsel der Entscheidungsträger</t>
  </si>
  <si>
    <t xml:space="preserve">Participant Jumps</t>
  </si>
  <si>
    <t xml:space="preserve">Wie oft ein Teilnehmer eine Gelegenheit nach einem Aufenthalt verlässt; Folge eines Flights; nicht gleich der Zahl der Flights.</t>
  </si>
  <si>
    <t xml:space="preserve">Möglicherweise grundsätzlich verschieden, wegen Blockbewegung bei CMO.</t>
  </si>
  <si>
    <t xml:space="preserve">Perioden mit Zuordnung der Entscheidungsträger (Maß a)</t>
  </si>
  <si>
    <t xml:space="preserve">200 minus KS</t>
  </si>
  <si>
    <t xml:space="preserve">Participant Bindings</t>
  </si>
  <si>
    <t xml:space="preserve">Zeit, in der ein Teilnehmer in einem blockierten Prozess festsitzt; Summe über Teilnehmer.</t>
  </si>
  <si>
    <t xml:space="preserve">Übertragung, da Teilnehmer in FL nur bei Blockade gebunden sind.</t>
  </si>
  <si>
    <t xml:space="preserve">Verfügbare und genutzte effektive Energie (Maß c)</t>
  </si>
  <si>
    <t xml:space="preserve">66 minus XR</t>
  </si>
  <si>
    <t xml:space="preserve">Used Energy</t>
  </si>
  <si>
    <t xml:space="preserve">Kumulierte Energie aller an Entscheidungen beteiligten Teilnehmer, bei Resolution und Oversight, ohne Effizienz der Lösung.</t>
  </si>
  <si>
    <t xml:space="preserve">Bewusst ohne Lösungskoeffizient definiert.</t>
  </si>
  <si>
    <t xml:space="preserve">FL empfehlen stattdessen Used Energy je Entscheidung.</t>
  </si>
  <si>
    <t xml:space="preserve">Energie über dem Bedarf (Maß d)</t>
  </si>
  <si>
    <t xml:space="preserve">Excess Energy</t>
  </si>
  <si>
    <t xml:space="preserve">Bei Resolution: eingesetzte Energie mal Effizienz minus Schwierigkeit der gelösten Probleme; bei Oversight nicht berechnet.</t>
  </si>
  <si>
    <t xml:space="preserve">Übertragung.</t>
  </si>
  <si>
    <t xml:space="preserve">FL empfehlen Excess Energy je Resolution.</t>
  </si>
  <si>
    <t xml:space="preserve">Nicht getroffene Entscheidungen</t>
  </si>
  <si>
    <t xml:space="preserve">Unexploited Opportunities</t>
  </si>
  <si>
    <t xml:space="preserve">Zahl der Gelegenheiten am Ende; nur sinnvoll, wenn Gelegenheiten nach Entscheidungen austreten.</t>
  </si>
  <si>
    <t xml:space="preserve">Entscheidungsschwierigkeit, Entscheidungszeit</t>
  </si>
  <si>
    <t xml:space="preserve">Waiting Time</t>
  </si>
  <si>
    <t xml:space="preserve">Kumulierte Lebensdauer aller Gelegenheiten bis zur Entscheidung.</t>
  </si>
  <si>
    <t xml:space="preserve">Vergleichbar, aber Skala hängt von Zahl und Zufluss der Gelegenheiten ab.</t>
  </si>
  <si>
    <t xml:space="preserve">Entscheidungsstil</t>
  </si>
  <si>
    <t xml:space="preserve">(Verläufe)</t>
  </si>
  <si>
    <t xml:space="preserve">Oversight, Resolution, Flight</t>
  </si>
  <si>
    <t xml:space="preserve">Entscheidungen sind nur Resolution oder Oversight; Flight ist ein Ereignis, das eine Entscheidung ermöglichen kann.</t>
  </si>
  <si>
    <t xml:space="preserve">FL kehren zur verbalen Definition zurück und lehnen die dritte Entscheidungsart ab (Abs. 3.1).</t>
  </si>
  <si>
    <t xml:space="preserve">Der FL-Oversight-Anteil entspricht dem CMO-Anteil von Flight plus Oversight (Tab. 2 Spalte 4), nicht dem CMO-Oversight-Anteil.</t>
  </si>
  <si>
    <t xml:space="preserve">keine Entsprechung</t>
  </si>
  <si>
    <t xml:space="preserve">%O-I bis %O-IV, %R-I bis %R-IV</t>
  </si>
  <si>
    <t xml:space="preserve">Anteil der Oversights bzw. Resolutionen an allen Entscheidungen je Wichtigkeitsquartil der Gelegenheiten; Quartile in jedem Schritt neu gebildet.</t>
  </si>
  <si>
    <t xml:space="preserve">Neu, um Aussagen zur Wichtigkeit zu prüfen (Abs. 5.4, 5.5).</t>
  </si>
  <si>
    <t xml:space="preserve">Grundlage von Abb. 19.</t>
  </si>
  <si>
    <t xml:space="preserve">UsedEn./Tot.Dec., Exc.En./Resol., Overs./Tot.Dec.</t>
  </si>
  <si>
    <t xml:space="preserve">Verhältniskennzahlen: genutzte Energie je Entscheidung, Überschussenergie je Resolution, Oversights je Entscheidung.</t>
  </si>
  <si>
    <t xml:space="preserve">Laut FL bessere Indikatoren der Ineffizienz (Abs. 6.11).</t>
  </si>
  <si>
    <t xml:space="preserve">In Abb. 14 enthalten.</t>
  </si>
  <si>
    <t xml:space="preserve">Fioretti und Lomi (2008): Anteile der Entscheidungen und Flights (Abb. 12, 13) und Déjà-vu-Werte (Abb. 18)</t>
  </si>
  <si>
    <t xml:space="preserve">Abb. 12 und 13 sind 3D-Kreisdiagramme ohne Zahlen; Winkel digitalisiert (orange). Abb. 18: Werte im Text, Abs. 6.30 (blau).</t>
  </si>
  <si>
    <t xml:space="preserve">Abbildung</t>
  </si>
  <si>
    <t xml:space="preserve">Größe</t>
  </si>
  <si>
    <t xml:space="preserve">Wert (Prozent)</t>
  </si>
  <si>
    <t xml:space="preserve">Werttyp</t>
  </si>
  <si>
    <t xml:space="preserve">Unsicherheit</t>
  </si>
  <si>
    <t xml:space="preserve">Abb. 12</t>
  </si>
  <si>
    <t xml:space="preserve">Entscheidungen durch Oversight, Anteil an allen Entscheidungen</t>
  </si>
  <si>
    <t xml:space="preserve">+/- 2 Prozentpunkte</t>
  </si>
  <si>
    <t xml:space="preserve">Basiswerte, 100 Läufe. Entspricht dem CMO-Anteil von Flight plus Oversight.</t>
  </si>
  <si>
    <t xml:space="preserve">Entscheidungen durch Resolution, Anteil an allen Entscheidungen</t>
  </si>
  <si>
    <t xml:space="preserve">Basiswerte, 100 Läufe.</t>
  </si>
  <si>
    <t xml:space="preserve">Abb. 13</t>
  </si>
  <si>
    <t xml:space="preserve">Flights mit anschließender Oversight, Anteil an allen Flights</t>
  </si>
  <si>
    <t xml:space="preserve">Flights mit anschließender Resolution, Anteil an allen Flights</t>
  </si>
  <si>
    <t xml:space="preserve">Flights ohne unmittelbare Folge, Anteil an allen Flights</t>
  </si>
  <si>
    <t xml:space="preserve">Laut Abs. 6.9 lösen die meisten Flights keine Entscheidung aus.</t>
  </si>
  <si>
    <t xml:space="preserve">Abb. 18</t>
  </si>
  <si>
    <t xml:space="preserve">Begegnungen mit bereits bekannten Gelegenheiten (d_opp)</t>
  </si>
  <si>
    <t xml:space="preserve">Rundung +/- 0,05</t>
  </si>
  <si>
    <t xml:space="preserve">Abs. 6.30; Definition Gl. 6: Flights / (Oversights + Resolutionen + 2 x Flights) x 100.</t>
  </si>
  <si>
    <t xml:space="preserve">Begegnungen mit bereits bekannten Lösungen (d_sol)</t>
  </si>
  <si>
    <t xml:space="preserve">Abs. 6.30; Gl. 7: Flights / (Oversights + Resolutionen + Flights) x 100.</t>
  </si>
  <si>
    <t xml:space="preserve">Begegnungen mit bereits bekannten Problemen (d_pro)</t>
  </si>
  <si>
    <t xml:space="preserve">Abs. 6.30; Gl. 8: Flights / (Resolutionen + Flights) x 100. Eigener Aufbau, siehe FL_Design.</t>
  </si>
  <si>
    <t xml:space="preserve">Abgeleitete Verhältnisse aus Gl. 6 bis 8 (Formeln, eigene Rechnung)</t>
  </si>
  <si>
    <t xml:space="preserve">Formel</t>
  </si>
  <si>
    <t xml:space="preserve">Resolutionen je Flight (R/F)</t>
  </si>
  <si>
    <t xml:space="preserve">aus Gl. 8</t>
  </si>
  <si>
    <t xml:space="preserve">In diesem Aufbau etwa 0,58.</t>
  </si>
  <si>
    <t xml:space="preserve">Oversights je Flight (O/F)</t>
  </si>
  <si>
    <t xml:space="preserve">aus Gl. 7 und Gl. 8</t>
  </si>
  <si>
    <t xml:space="preserve">d_opp nachgerechnet aus d_sol und d_pro (Prozent)</t>
  </si>
  <si>
    <t xml:space="preserve">aus Gl. 6</t>
  </si>
  <si>
    <t xml:space="preserve">Vergleich mit 13,4 im Text: Werte sind konsistent.</t>
  </si>
  <si>
    <t xml:space="preserve">Anteil Resolution an allen Entscheidungen</t>
  </si>
  <si>
    <t xml:space="preserve">R/(R+O)</t>
  </si>
  <si>
    <t xml:space="preserve">Etwa 0,11 im Aufbau von Abb. 18; Größenordnung wie Abb. 12.</t>
  </si>
  <si>
    <t xml:space="preserve">Flights je Entscheidung</t>
  </si>
  <si>
    <t xml:space="preserve">F/(R+O)</t>
  </si>
  <si>
    <t xml:space="preserve">Digitalisierung: Ellipse der Kreisoberfläche vermessen, Pixel nach Farbe klassifiziert, Winkel über affine Rückprojektion bestimmt; Trennlinien anteilig verteilt. Perspektive von Excel-3D-Diagrammen ist in der Unsicherheit enthalten.</t>
  </si>
  <si>
    <t xml:space="preserve">Fioretti und Lomi (2008), Abb. 14: Ineffizienz-Indikatoren in Abhängigkeit von der Problemschwierigkeit</t>
  </si>
  <si>
    <t xml:space="preserve">Indexwerte (Schwierigkeit 0,5 = 100), logarithmische Achse 10 bis 100.000; Mittel über 100 Läufe; Basiswerte. Alle Werte digitalisiert (orange).</t>
  </si>
  <si>
    <t xml:space="preserve">Indikator (Legende)</t>
  </si>
  <si>
    <t xml:space="preserve">Schwierigkeit 0,5</t>
  </si>
  <si>
    <t xml:space="preserve">2,0</t>
  </si>
  <si>
    <t xml:space="preserve">2,5</t>
  </si>
  <si>
    <t xml:space="preserve">Zuverlässigkeit</t>
  </si>
  <si>
    <t xml:space="preserve">Part.Jumps</t>
  </si>
  <si>
    <t xml:space="preserve">hoch</t>
  </si>
  <si>
    <t xml:space="preserve">Eindeutig erkennbare Linie; Ablesegenauigkeit etwa +/- 10 Prozent relativ.</t>
  </si>
  <si>
    <t xml:space="preserve">Part.Bindings</t>
  </si>
  <si>
    <t xml:space="preserve">Eindeutig erkennbare Linie; etwa +/- 10 Prozent relativ.</t>
  </si>
  <si>
    <t xml:space="preserve">Probl.Bindings</t>
  </si>
  <si>
    <t xml:space="preserve">Ab 1,5 nahe an Flights und Part.Bindings; etwa +/- 15 Prozent relativ.</t>
  </si>
  <si>
    <t xml:space="preserve">Flights</t>
  </si>
  <si>
    <t xml:space="preserve">Ab 1,5 nahe an Probl.Bindings; etwa +/- 15 Prozent relativ.</t>
  </si>
  <si>
    <t xml:space="preserve">Exc.En./Resol.</t>
  </si>
  <si>
    <t xml:space="preserve">Bei 1,0 am unteren Achsenrand abgeschnitten, Wert 10 ist eine Obergrenze. Verlauf nicht monoton.</t>
  </si>
  <si>
    <t xml:space="preserve">Overs./Tot.Dec.</t>
  </si>
  <si>
    <t xml:space="preserve">niedrig</t>
  </si>
  <si>
    <t xml:space="preserve">Linie im Bündel zwischen etwa 95 und 145; Zuordnung über die Farbe schwarz.</t>
  </si>
  <si>
    <t xml:space="preserve">Unexploited Opp.</t>
  </si>
  <si>
    <t xml:space="preserve">Im Bündel; mit Probl.Jumps nicht sicher trennbar.</t>
  </si>
  <si>
    <t xml:space="preserve">Probl.Jumps</t>
  </si>
  <si>
    <t xml:space="preserve">Im Bündel; mit Unexploited Opp. nicht sicher trennbar.</t>
  </si>
  <si>
    <t xml:space="preserve">Im Bündel; stimmt mit Abb. 15 bis 17 (N/N) überein, siehe Pruefungen.</t>
  </si>
  <si>
    <t xml:space="preserve">Unsolv.Problems</t>
  </si>
  <si>
    <t xml:space="preserve">Im Bündel; vergleiche Abb. 15 bis 17 (N/N).</t>
  </si>
  <si>
    <t xml:space="preserve">UsedEn./Tot.Dec.</t>
  </si>
  <si>
    <t xml:space="preserve">Im Bündel, teils verdeckt.</t>
  </si>
  <si>
    <t xml:space="preserve">Laut Abs. 6.14 reagieren Problem Bindings, Participant Jumps, Participant Bindings und Flights besonders stark; alle hängen eng mit der Zahl der Flights zusammen.</t>
  </si>
  <si>
    <t xml:space="preserve">Digitalisierung: Achse über die Rahmenlinien kalibriert (10 bei y = 307, 100.000 bei y = 63 Pixel); Linien über Legendenfarben getrennt. 1 Pixel entspricht etwa 4 Prozent.</t>
  </si>
  <si>
    <t xml:space="preserve">Fioretti und Lomi (2008), Abb. 15 bis 17: Problemlatenz, ungelöste Probleme, Wartezeit nach Strukturen</t>
  </si>
  <si>
    <t xml:space="preserve">Problemschwierigkeit 0,5 (Abb. 15), 1,5 (Abb. 16), 2,5 (Abb. 17); Basiswerte; Mittel über 100 Läufe. Werte aus 3D-Säulendiagrammen digitalisiert (orange).</t>
  </si>
  <si>
    <t xml:space="preserve">Indikator</t>
  </si>
  <si>
    <t xml:space="preserve">Zugangsstruktur</t>
  </si>
  <si>
    <t xml:space="preserve">Abb. 15 (0,5)</t>
  </si>
  <si>
    <t xml:space="preserve">Abb. 16 (1,5)</t>
  </si>
  <si>
    <t xml:space="preserve">Abb. 17 (2,5)</t>
  </si>
  <si>
    <t xml:space="preserve">Achsenbereich</t>
  </si>
  <si>
    <t xml:space="preserve">Hinweis</t>
  </si>
  <si>
    <t xml:space="preserve">Problem Latency (Problemlatenz)</t>
  </si>
  <si>
    <t xml:space="preserve">N unsegmentiert</t>
  </si>
  <si>
    <t xml:space="preserve">40.000 bis 70.000</t>
  </si>
  <si>
    <t xml:space="preserve">+/- 600 (2 Prozent der Achse)</t>
  </si>
  <si>
    <t xml:space="preserve">H hierarchisch</t>
  </si>
  <si>
    <t xml:space="preserve">S spezialisiert</t>
  </si>
  <si>
    <t xml:space="preserve">Unsolved Problems (Ungelöste Probleme)</t>
  </si>
  <si>
    <t xml:space="preserve">360 bis 400</t>
  </si>
  <si>
    <t xml:space="preserve">+/- 1</t>
  </si>
  <si>
    <t xml:space="preserve">Waiting Time (Wartezeit)</t>
  </si>
  <si>
    <t xml:space="preserve">15.000 bis 30.000</t>
  </si>
  <si>
    <t xml:space="preserve">+/- 300 (2 Prozent der Achse)</t>
  </si>
  <si>
    <t xml:space="preserve">Abb. 16: verdeckt; aus der Geometrie höchstens etwa 20.500; Abb. 17: verdeckt; aus der Geometrie höchstens etwa 20.700</t>
  </si>
  <si>
    <t xml:space="preserve">Abb. 15: teilweise verdeckt; Abb. 16: teilweise verdeckt</t>
  </si>
  <si>
    <t xml:space="preserve">Plausibilitätsgrenzen (eigene Näherung, Formeln)</t>
  </si>
  <si>
    <t xml:space="preserve">Annahme</t>
  </si>
  <si>
    <t xml:space="preserve">Schritte</t>
  </si>
  <si>
    <t xml:space="preserve">Mittlerer Eintrittsschritt</t>
  </si>
  <si>
    <t xml:space="preserve">Gleichmäßiger Zufluss in den Schritten 1 bis 100 (Abs. 6.3).</t>
  </si>
  <si>
    <t xml:space="preserve">Höchstwert Problemlatenz</t>
  </si>
  <si>
    <t xml:space="preserve">Kein Problem wird je gebunden oder gelöst.</t>
  </si>
  <si>
    <t xml:space="preserve">Höchstwert Wartezeit</t>
  </si>
  <si>
    <t xml:space="preserve">Keine Gelegenheit wird je für eine Entscheidung genutzt.</t>
  </si>
  <si>
    <t xml:space="preserve">Höchstwert ungelöste Probleme</t>
  </si>
  <si>
    <t xml:space="preserve">Viele segmentierte Konfigurationen liegen nahe an diesen Höchstwerten (Sättigung). Unterschiede zwischen ihnen liegen innerhalb der Ablesegenauigkeit.</t>
  </si>
  <si>
    <t xml:space="preserve">Digitalisierung: je Teildiagramm projektive Kamera aus 8 bis 12 Strukturpunkten (Achsenmarken, Wandecken, Gitterlinien) geschätzt, Restfehler unter 1,1 Pixel; Wert aus dem Schwerpunkt der Säulendeckfläche.</t>
  </si>
  <si>
    <t xml:space="preserve">Fioretti und Lomi (2008), Abb. 19: Resolutionen auf den wichtigsten und unwichtigsten Gelegenheiten</t>
  </si>
  <si>
    <t xml:space="preserve">Prozent der Entscheidungen; logarithmische Achse 0,1 bis 100; Mittel über 100 Läufe; Aufbau Abs. 6.38. Alle Werte digitalisiert (orange).</t>
  </si>
  <si>
    <t xml:space="preserve">Wichtigste 50 Prozent (weiß)</t>
  </si>
  <si>
    <t xml:space="preserve">Unwichtigste 50 Prozent (schwarz)</t>
  </si>
  <si>
    <t xml:space="preserve">Verhältnis unwichtig zu wichtig (Formel)</t>
  </si>
  <si>
    <t xml:space="preserve">gleich hoch, siehe Kommentar</t>
  </si>
  <si>
    <t xml:space="preserve">Die Zuordnung zu den Quartilsindikatoren ist eine Interpretation: Abs. 6.39 nennt die Indikatoren, die Abbildung unterscheidet nur die wichtigere und die unwichtigere Hälfte.</t>
  </si>
  <si>
    <t xml:space="preserve">Konfigurationen mit spezialisierter Struktur fehlen, weil dort zu wenige Resolutionen auftraten (Abs. 6.41).</t>
  </si>
  <si>
    <t xml:space="preserve">Fioretti und Lomi (2008): Befunde zur Prüfung der CMO-Aussagen</t>
  </si>
  <si>
    <t xml:space="preserve">Paraphrasen mit Absatzangabe. Spalte Ergebnis eigenes Modell ist zum Eintragen gedacht (gelb).</t>
  </si>
  <si>
    <t xml:space="preserve">FL-Nr.</t>
  </si>
  <si>
    <t xml:space="preserve">Aussage bzw. Befund (Paraphrase)</t>
  </si>
  <si>
    <t xml:space="preserve">CMO-Eigenschaft (eigene Zuordnung)</t>
  </si>
  <si>
    <t xml:space="preserve">Status laut FL</t>
  </si>
  <si>
    <t xml:space="preserve">Liste der CMO-Aussagen</t>
  </si>
  <si>
    <t xml:space="preserve">Nur wenige Entscheidungen lösen Probleme; die meisten erfolgen durch Oversight.</t>
  </si>
  <si>
    <t xml:space="preserve">Nr. 1</t>
  </si>
  <si>
    <t xml:space="preserve">bestätigt</t>
  </si>
  <si>
    <t xml:space="preserve">Abs. 6.1, 6.5 bis 6.8</t>
  </si>
  <si>
    <t xml:space="preserve">Die Effizienz einer organisierten Anarchie hängt von der Schwierigkeit der Probleme ab.</t>
  </si>
  <si>
    <t xml:space="preserve">Nr. 2</t>
  </si>
  <si>
    <t xml:space="preserve">Manche Probleme bleiben lange ungelöst, unabhängig von Entscheidungs- und Zugangsstruktur.</t>
  </si>
  <si>
    <t xml:space="preserve">Nr. 4 (teilweise)</t>
  </si>
  <si>
    <t xml:space="preserve">Teilnehmer und Probleme jagen einander durch die Gelegenheiten; Teilnehmer haben den Eindruck, immer dieselben Probleme zu sehen.</t>
  </si>
  <si>
    <t xml:space="preserve">Nr. 3</t>
  </si>
  <si>
    <t xml:space="preserve">bestätigt (emergent)</t>
  </si>
  <si>
    <t xml:space="preserve">Abs. 6.22 bis 6.33</t>
  </si>
  <si>
    <t xml:space="preserve">Sind Gelegenheiten nach Wichtigkeit geordnet, lösen die wichtigsten am seltensten Probleme.</t>
  </si>
  <si>
    <t xml:space="preserve">Nr. 7</t>
  </si>
  <si>
    <t xml:space="preserve">Abs. 6.34 bis 6.42</t>
  </si>
  <si>
    <t xml:space="preserve">Sind Gelegenheiten geordnet, sind nicht genutzte Gelegenheiten meist die wichtigsten und die unwichtigsten.</t>
  </si>
  <si>
    <t xml:space="preserve">Nr. 8</t>
  </si>
  <si>
    <t xml:space="preserve">nicht bestätigt</t>
  </si>
  <si>
    <t xml:space="preserve">Abs. 6.5</t>
  </si>
  <si>
    <t xml:space="preserve">Sind Probleme geordnet, werden die wichtigsten zuerst gelöst.</t>
  </si>
  <si>
    <t xml:space="preserve">Nr. 6</t>
  </si>
  <si>
    <t xml:space="preserve">Hierarchische und spezialisierte Strukturen haben nichtlineare Effekte, die sich nicht trennen lassen.</t>
  </si>
  <si>
    <t xml:space="preserve">Nr. 5</t>
  </si>
  <si>
    <t xml:space="preserve">CMO: segmentierte Entscheidungsstruktur senkt, segmentierter Zugang erhöht die Latenz. FL: hierarchische Entscheidungsstruktur senkt die Latenz nur leicht bei unsegmentiertem Zugang und Basiswerten, sonst eher umgekehrt; spezialisierte Entscheidungsstruktur erhöht sie immer. Erhöhung durch segmentierten Zugang wie bei CMO.</t>
  </si>
  <si>
    <t xml:space="preserve">Nr. 4</t>
  </si>
  <si>
    <t xml:space="preserve">teilweise</t>
  </si>
  <si>
    <t xml:space="preserve">Abs. 6.20</t>
  </si>
  <si>
    <t xml:space="preserve">Ungelöste Probleme</t>
  </si>
  <si>
    <t xml:space="preserve">CMO: segmentierte Entscheidungsstruktur erhöht, segmentierter Zugang senkt die Zahl. FL: erste Aussage bestätigt, zweite widerlegt; segmentierte Strukturen erhöhen die Zahl stark. Teilausnahme: hierarchische Entscheidungsstruktur mit unsegmentiertem Zugang bei Schwierigkeit 0,5.</t>
  </si>
  <si>
    <t xml:space="preserve">Abs. 6.20, Abb. 15</t>
  </si>
  <si>
    <t xml:space="preserve">Eigene Anmerkung: CMO sprechen auf S. 10 von der Zahl aktiver ungelöster Probleme, was eher der Problemaktivität entspricht. FL übersetzen dies als ungelöste Probleme am Ende. Ein Teil der Abweichung kann an dieser Übersetzung liegen.</t>
  </si>
  <si>
    <t xml:space="preserve">Interpretation</t>
  </si>
  <si>
    <t xml:space="preserve">S. 10 CMO; Abs. 6.20 FL</t>
  </si>
  <si>
    <t xml:space="preserve">Wartezeit</t>
  </si>
  <si>
    <t xml:space="preserve">CMO: segmentierte Entscheidungsstruktur erhöht die Wartezeit, segmentierter Zugang meistens ebenfalls. FL: segmentierter Zugang erhöht sie zusammen mit spezialisierter Entscheidungsstruktur; bei ausreichend hoher Schwierigkeit kann er sie mit unsegmentierter oder hierarchischer Entscheidungsstruktur senken.</t>
  </si>
  <si>
    <t xml:space="preserve">Besondere Eigenschaften</t>
  </si>
  <si>
    <t xml:space="preserve">Bei unsegmentierter Entscheidungsstruktur und hoher Schwierigkeit können hierarchischer oder spezialisierter Zugang die Wartezeit senken, während Latenz und ungelöste Probleme steigen.</t>
  </si>
  <si>
    <t xml:space="preserve">Befund FL</t>
  </si>
  <si>
    <t xml:space="preserve">Abs. 6.21</t>
  </si>
  <si>
    <t xml:space="preserve">Hierarchische Entscheidungsstruktur mit unsegmentiertem Zugang ist besonders: bei geringer Schwierigkeit kaum mehr ungelöste Probleme als N/N, bei hoher Schwierigkeit leicht geringere Latenz.</t>
  </si>
  <si>
    <t xml:space="preserve">Bei spezialisierter Entscheidungsstruktur ist die Wartezeit unabhängig von Zugang und Schwierigkeit extrem hoch.</t>
  </si>
  <si>
    <t xml:space="preserve">Weitere Befunde</t>
  </si>
  <si>
    <t xml:space="preserve">Die Oversight-Dominanz hält in FL für jede Parameterkonfiguration, auch weit von den Basiswerten entfernt; bei CMO gab es Konfigurationen mit Resolution-Mehrheit.</t>
  </si>
  <si>
    <t xml:space="preserve">Abs. 6.7, 6.8</t>
  </si>
  <si>
    <t xml:space="preserve">Weit von den Basiswerten gibt es Konfigurationen mit etwa gleich vielen Flights vor Resolution wie vor Oversight, dann aber mit wenigen Entscheidungen insgesamt.</t>
  </si>
  <si>
    <t xml:space="preserve">Abs. 6.10</t>
  </si>
  <si>
    <t xml:space="preserve">Die Wirkung der Schwierigkeit ist robust für Werte oberhalb des Produkts aus mittlerer Effizienz und mittlerer Fähigkeit und unterhalb des Produkts aus mittlerer Effizienz und der Fähigkeitssumme hinreichend vieler Teilnehmer.</t>
  </si>
  <si>
    <t xml:space="preserve">Abs. 6.15</t>
  </si>
  <si>
    <t xml:space="preserve">Die Aussage von CMO, unsegmentierter Zugang mit spezialisierter Entscheidungsstruktur mache die Effizienz unabhängig von der Schwierigkeit, wird nicht bestätigt (Verweis auf FL 2008a in SIMPAT).</t>
  </si>
  <si>
    <t xml:space="preserve">Abs. 6.16</t>
  </si>
  <si>
    <t xml:space="preserve">Die Dominanz der Wiederbegegnung mit Problemen bleibt bei zufälligen zulässigen Parameterkombinationen erhalten; die Zahlenwerte ändern sich.</t>
  </si>
  <si>
    <t xml:space="preserve">Abs. 6.32</t>
  </si>
  <si>
    <t xml:space="preserve">Der Resolution-Anteil auf unwichtigen Gelegenheiten steigt mit der Laufzeit zunächst und fällt dann. FL erklären den Befund damit, dass unwichtige Gelegenheiten allen offenstehen und früher verbraucht werden.</t>
  </si>
  <si>
    <t xml:space="preserve">Abs. 6.42</t>
  </si>
  <si>
    <t xml:space="preserve">Fazit</t>
  </si>
  <si>
    <t xml:space="preserve">Die Hauptaussagen werden für einen weiten Parameterbereich bestätigt; einige weniger wichtige Schlüsse sind Artefakte der Implementierung von 1972.</t>
  </si>
  <si>
    <t xml:space="preserve">Fazit FL</t>
  </si>
  <si>
    <t xml:space="preserve">Abs. 2.15, 7.1</t>
  </si>
  <si>
    <t xml:space="preserve">Aktuelles NetLogo-Modell von Fioretti (GarbageCan_simplified17.nlogox): dokumentierte Eigenschaften</t>
  </si>
  <si>
    <t xml:space="preserve">Quelle: Info-Tab der Modelldatei (NetLogo 7.0.4), dort mit Verweis auf Fioretti (2024), Industrial and Corporate Change 33(4), 808 bis 830. Keine Zahlenwerte veröffentlicht.</t>
  </si>
  <si>
    <t xml:space="preserve">Hinweis im Info-Tab zur Prüfung</t>
  </si>
  <si>
    <t xml:space="preserve">Ergebnis eigener Port (eintragen)</t>
  </si>
  <si>
    <t xml:space="preserve">Die meisten Entscheidungen erfolgen durch Oversight.</t>
  </si>
  <si>
    <t xml:space="preserve">Vergleich der Zähler Oversights und Resolutions.</t>
  </si>
  <si>
    <t xml:space="preserve">Der Resolution-Anteil ist höher, wenn Flights durch Postponement, Buck-Passing oder beides erlaubt sind.</t>
  </si>
  <si>
    <t xml:space="preserve">Vergleich der Varianten von postpone? und buckpass?.</t>
  </si>
  <si>
    <t xml:space="preserve">Organisierte Anarchien erreichen einen höheren Resolution-Anteil als Hierarchien.</t>
  </si>
  <si>
    <t xml:space="preserve">Verhältnis Oversights zu Resolutions je Struktur.</t>
  </si>
  <si>
    <t xml:space="preserve">Inkompetente Hierarchien sind beim Resolution-Anteil mindestens ungefähr so effizient wie kompetente.</t>
  </si>
  <si>
    <t xml:space="preserve">Verhältnis Oversights zu Resolutions für kompetente und inkompetente Hierarchie.</t>
  </si>
  <si>
    <t xml:space="preserve">Voreinstellungen und Versuchsplan laut Modelldatei</t>
  </si>
  <si>
    <t xml:space="preserve">Simulationsschritte (stop-at)</t>
  </si>
  <si>
    <t xml:space="preserve">50.000</t>
  </si>
  <si>
    <t xml:space="preserve">Teilnehmer, Gelegenheiten, Lösungen, Probleme</t>
  </si>
  <si>
    <t xml:space="preserve">je 100</t>
  </si>
  <si>
    <t xml:space="preserve">Fähigkeit</t>
  </si>
  <si>
    <t xml:space="preserve">gleichverteilt 0 bis 10</t>
  </si>
  <si>
    <t xml:space="preserve">Effizienz</t>
  </si>
  <si>
    <t xml:space="preserve">gleichverteilt 0 bis 1</t>
  </si>
  <si>
    <t xml:space="preserve">Schwierigkeit</t>
  </si>
  <si>
    <t xml:space="preserve">span-of-control</t>
  </si>
  <si>
    <t xml:space="preserve">2</t>
  </si>
  <si>
    <t xml:space="preserve">BehaviorSpace</t>
  </si>
  <si>
    <t xml:space="preserve">12 Experimente (3 Strukturen x 4 Flight-Varianten) mit je 1.000 Wiederholungen</t>
  </si>
  <si>
    <t xml:space="preserve">Entscheidungs-, Verfügbarkeits- und Zugangsstruktur je organized anarchy, competent hierarchy, incompetent hierarchy</t>
  </si>
  <si>
    <t xml:space="preserve">Unterschiede und Hinweise für den Port</t>
  </si>
  <si>
    <t xml:space="preserve">Laut Info-Tab weicht das Modell von Fioretti und Lomi (2010) ab: Flights hängen Probleme an die zuletzt eingetroffene Gelegenheit oder Person, Buck-Passing ist nicht mehr auf blockierte Prozesse mit einer Person beschränkt, eine Verzerrung bei der Wahl der Flight-Art ist korrigiert, Parameter wurden gestrichen, und Agenten treten nicht aus. Die Befunde von 2010 sollen dennoch bestätigt sein.</t>
  </si>
  <si>
    <t xml:space="preserve">Die Wiederbegegnung mit denselben Problemen lässt sich in dieser Version nicht zeigen, weil keine Agenten austreten.</t>
  </si>
  <si>
    <t xml:space="preserve">Vier der zwölf BehaviorSpace-Experimente definieren keine Metriken und schreiben über print? in Textdateien (Organized Anarchy ohne Flights, Competent Hierarchy ohne Flights, Competent Hierarchy P, Competent Hierarchy P+BP). Für Referenzverteilungen aus dem Originalmodell vorher prüfen.</t>
  </si>
  <si>
    <t xml:space="preserve">Bei 100 Gelegenheiten und span-of-control 2 ergibt die Prozedur assign-importance hierarchy-divide = 7. Nach der Herleitung im Buchkapitel umfasst die obere Hälfte der fiktiven Hierarchie sieben Gelegenheiten; die Regel who kleiner oder gleich 7 erfasst wegen who ab 0 jedoch acht.</t>
  </si>
  <si>
    <t xml:space="preserve">Die Schwelle für hohe Fähigkeit ist (max minus min) / 2. Sie entspricht nur bei min = 0 der Intervallmitte.</t>
  </si>
  <si>
    <t xml:space="preserve">Die Logik im Code behandelt niedrige who-Werte als wichtig. Der Kommentar im Setup und der Abschnitt NetLogo Features im Info-Tab sagen das Gegenteil.</t>
  </si>
  <si>
    <t xml:space="preserve">Konsistenzprüfungen der extrahierten Daten (Formeln)</t>
  </si>
  <si>
    <t xml:space="preserve">Grün hinterlegte Ergebnisse werden aus den übrigen Blättern berechnet.</t>
  </si>
  <si>
    <t xml:space="preserve">Prüfung</t>
  </si>
  <si>
    <t xml:space="preserve">Ergebnis</t>
  </si>
  <si>
    <t xml:space="preserve">Sollwert oder Grenze</t>
  </si>
  <si>
    <t xml:space="preserve">Status</t>
  </si>
  <si>
    <t xml:space="preserve">Erläuterung</t>
  </si>
  <si>
    <t xml:space="preserve">Tab. 1: größte Abweichung Zeilenmittel zu Spalte Alle</t>
  </si>
  <si>
    <t xml:space="preserve">Rundung der gedruckten Werte erlaubt bis etwa 0,007.</t>
  </si>
  <si>
    <t xml:space="preserve">Tab. 1: größte Abweichung Spaltenmittel zu Zeile Alle</t>
  </si>
  <si>
    <t xml:space="preserve">Tab. 2 Spalte 4 gegen 1 minus Tab. 1 Alle: größte Abweichung</t>
  </si>
  <si>
    <t xml:space="preserve">Exakt komplementär.</t>
  </si>
  <si>
    <t xml:space="preserve">Nettolasten aus Parametern gegen gedruckte Werte: Summe der Abweichungen</t>
  </si>
  <si>
    <t xml:space="preserve">-44, -22 und 0 werden reproduziert.</t>
  </si>
  <si>
    <t xml:space="preserve">Versuchsplan: Zahl der Situationen</t>
  </si>
  <si>
    <t xml:space="preserve">Energieverteilungen: Summen E0, E1, E2 je Periode</t>
  </si>
  <si>
    <t xml:space="preserve">Alle drei Verteilungen summieren sich zu 5,5.</t>
  </si>
  <si>
    <t xml:space="preserve">Eintrittsperioden aus Folge (a) gegen Datenkarten: Abweichungen</t>
  </si>
  <si>
    <t xml:space="preserve">Die gedruckten Datenkarten entsprechen Folge (a).</t>
  </si>
  <si>
    <t xml:space="preserve">Tab. 5: Codes der guten Zeiten gegen Spezifikation S. 14</t>
  </si>
  <si>
    <t xml:space="preserve">0200, 1112, 0002, 1221.</t>
  </si>
  <si>
    <t xml:space="preserve">Text S. 15: Faktor Resolution, groß und reich, spät zu früh</t>
  </si>
  <si>
    <t xml:space="preserve">Text: verdreifacht.</t>
  </si>
  <si>
    <t xml:space="preserve">Text S. 15: Rückgang Problemaktivität</t>
  </si>
  <si>
    <t xml:space="preserve">Text: um fast drei Viertel.</t>
  </si>
  <si>
    <t xml:space="preserve">Text S. 15: Rückgang Entscheidungszeit</t>
  </si>
  <si>
    <t xml:space="preserve">Text: um mehr als die Hälfte.</t>
  </si>
  <si>
    <t xml:space="preserve">FL Abb. 18: d_opp aus d_sol und d_pro nachgerechnet</t>
  </si>
  <si>
    <t xml:space="preserve">Die drei Textwerte sind über Gl. 6 bis 8 konsistent.</t>
  </si>
  <si>
    <t xml:space="preserve">FL Abb. 12: Summe der digitalisierten Anteile</t>
  </si>
  <si>
    <t xml:space="preserve">FL Abb. 13: Summe der digitalisierten Anteile</t>
  </si>
  <si>
    <t xml:space="preserve">FL Abb. 14 gegen Abb. 15 bis 17 (N/N): Index ungelöste Probleme bei 1,5, Differenz</t>
  </si>
  <si>
    <t xml:space="preserve">1 Pixel in Abb. 14 entspricht etwa 4 Indexpunkten; Grenze ist gut 1 Pixel.</t>
  </si>
  <si>
    <t xml:space="preserve">FL Abb. 14 gegen Abb. 15 bis 17 (N/N): Index ungelöste Probleme bei 2,5, Differenz</t>
  </si>
  <si>
    <t xml:space="preserve">FL Abb. 14 gegen Abb. 15 bis 17 (N/N): Index Wartezeit bei 1,5, Differenz</t>
  </si>
  <si>
    <t xml:space="preserve">FL Abb. 14 gegen Abb. 15 bis 17 (N/N): Index Wartezeit bei 2,5, Differenz</t>
  </si>
  <si>
    <t xml:space="preserve">FL Abb. 15 bis 17: größte Problemlatenz relativ zum Näherungshöchstwert</t>
  </si>
  <si>
    <t xml:space="preserve">Werte über dem Höchstwert wären unplausibel; erlaubt sind 2 Prozent Ablesefehler.</t>
  </si>
  <si>
    <t xml:space="preserve">FL Abb. 15 bis 17: größte Wartezeit relativ zum Näherungshöchstwert</t>
  </si>
  <si>
    <t xml:space="preserve">FL Abb. 15 bis 17: größte Zahl ungelöster Probleme</t>
  </si>
  <si>
    <t xml:space="preserve">FL Abb. 19: Paare mit weißer Säule niedriger als schwarze (von 12)</t>
  </si>
  <si>
    <t xml:space="preserve">Ein Paar (H/N, 100 Schritte) ist gleich hoch; der Text sagt immer niedriger.</t>
  </si>
  <si>
    <t xml:space="preserve">Abgleich am Scan (manuell, 16.10.2026)</t>
  </si>
  <si>
    <t xml:space="preserve">Tab. 1 (S. 9), Tab. 2 und 3 (S. 10), Tab. 4 und Wahlausfälle (S. 11), Hochschulspezifikation (S. 14) und Tab. 5 (S. 17) am gerenderten Scan abgelesen; alle Werte stimmen mit dem Textlayer überein.</t>
  </si>
  <si>
    <t xml:space="preserve">Fortran-Listing S. 20 und 23 bis 24 bei 250 bis 300 dpi geprüft: Schleifen DO 310 und DO 350 beginnen bei I=1, DO 330 und DO 370 bei I=2; XERC(I)=1.1 und XERP(J)=IL*1.1 bestätigt; Datenkarten bestätigt.</t>
  </si>
  <si>
    <t xml:space="preserve">Der Textlayer des JSTOR-PDF enthält OCR-Fehler im Listing (zum Beispiel DO 350 mit I=2). Für Code-Details immer den Scan verwenden.</t>
  </si>
  <si>
    <t xml:space="preserve">Vorlage für das numerische Docking gegen Cohen, March und Olsen (1972)</t>
  </si>
  <si>
    <t xml:space="preserve">Gelbe Zellen sind Eingaben: Toleranzen oben und eigene Werte in Spalte J. Beispielwerte stammen aus der Projektnotiz vom 09.10.2026 und sind mit aktuellen Läufen zu überschreiben.</t>
  </si>
  <si>
    <t xml:space="preserve">Toleranz für Anteile (absolut)</t>
  </si>
  <si>
    <t xml:space="preserve">offen</t>
  </si>
  <si>
    <t xml:space="preserve">Toleranz für Mittel- und Zählwerte (relativ)</t>
  </si>
  <si>
    <t xml:space="preserve">identisch im Rahmen der Rundung</t>
  </si>
  <si>
    <t xml:space="preserve">Mindesttoleranz für Zählwerte in Tab. 5 (absolut)</t>
  </si>
  <si>
    <t xml:space="preserve">innerhalb Toleranz</t>
  </si>
  <si>
    <t xml:space="preserve">Abweichung</t>
  </si>
  <si>
    <t xml:space="preserve">ID</t>
  </si>
  <si>
    <t xml:space="preserve">Kennzahl</t>
  </si>
  <si>
    <t xml:space="preserve">Bedingung</t>
  </si>
  <si>
    <t xml:space="preserve">Referenzwert</t>
  </si>
  <si>
    <t xml:space="preserve">Gedruckte Nachkommastellen</t>
  </si>
  <si>
    <t xml:space="preserve">Rundungstoleranz (Formel)</t>
  </si>
  <si>
    <t xml:space="preserve">Typ</t>
  </si>
  <si>
    <t xml:space="preserve">Toleranz (Formel, überschreibbar)</t>
  </si>
  <si>
    <t xml:space="preserve">Eigener Wert (eintragen)</t>
  </si>
  <si>
    <t xml:space="preserve">Abweichung (eigener minus Referenz)</t>
  </si>
  <si>
    <t xml:space="preserve">CMO_T1_leicht_alle</t>
  </si>
  <si>
    <t xml:space="preserve">Tab. 1, S. 9</t>
  </si>
  <si>
    <t xml:space="preserve">Anteil der getroffenen Entscheidungen, die Probleme lösen (Resolution)</t>
  </si>
  <si>
    <t xml:space="preserve">Last leicht, Zugang alle, Entscheidung alle, Energie alle</t>
  </si>
  <si>
    <t xml:space="preserve">Anteil</t>
  </si>
  <si>
    <t xml:space="preserve">CMO_T1_leicht_unsegmentiert</t>
  </si>
  <si>
    <t xml:space="preserve">Last leicht, Zugang unsegmentiert, Entscheidung alle, Energie alle</t>
  </si>
  <si>
    <t xml:space="preserve">CMO_T1_leicht_hierarchisch</t>
  </si>
  <si>
    <t xml:space="preserve">Last leicht, Zugang hierarchisch, Entscheidung alle, Energie alle</t>
  </si>
  <si>
    <t xml:space="preserve">CMO_T1_leicht_spezialisiert</t>
  </si>
  <si>
    <t xml:space="preserve">Last leicht, Zugang spezialisiert, Entscheidung alle, Energie alle</t>
  </si>
  <si>
    <t xml:space="preserve">CMO_T1_mittel_alle</t>
  </si>
  <si>
    <t xml:space="preserve">Last mittel, Zugang alle, Entscheidung alle, Energie alle</t>
  </si>
  <si>
    <t xml:space="preserve">CMO_T1_mittel_unsegmentiert</t>
  </si>
  <si>
    <t xml:space="preserve">Last mittel, Zugang unsegmentiert, Entscheidung alle, Energie alle</t>
  </si>
  <si>
    <t xml:space="preserve">CMO_T1_mittel_hierarchisch</t>
  </si>
  <si>
    <t xml:space="preserve">Last mittel, Zugang hierarchisch, Entscheidung alle, Energie alle</t>
  </si>
  <si>
    <t xml:space="preserve">CMO_T1_mittel_spezialisiert</t>
  </si>
  <si>
    <t xml:space="preserve">Last mittel, Zugang spezialisiert, Entscheidung alle, Energie alle</t>
  </si>
  <si>
    <t xml:space="preserve">CMO_T1_schwer_alle</t>
  </si>
  <si>
    <t xml:space="preserve">Last schwer, Zugang alle, Entscheidung alle, Energie alle</t>
  </si>
  <si>
    <t xml:space="preserve">CMO_T1_schwer_unsegmentiert</t>
  </si>
  <si>
    <t xml:space="preserve">Last schwer, Zugang unsegmentiert, Entscheidung alle, Energie alle</t>
  </si>
  <si>
    <t xml:space="preserve">CMO_T1_schwer_hierarchisch</t>
  </si>
  <si>
    <t xml:space="preserve">Last schwer, Zugang hierarchisch, Entscheidung alle, Energie alle</t>
  </si>
  <si>
    <t xml:space="preserve">CMO_T1_schwer_spezialisiert</t>
  </si>
  <si>
    <t xml:space="preserve">Last schwer, Zugang spezialisiert, Entscheidung alle, Energie alle</t>
  </si>
  <si>
    <t xml:space="preserve">CMO_T1_alle_alle</t>
  </si>
  <si>
    <t xml:space="preserve">Last alle, Zugang alle, Entscheidung alle, Energie alle</t>
  </si>
  <si>
    <t xml:space="preserve">CMO_T1_alle_unsegmentiert</t>
  </si>
  <si>
    <t xml:space="preserve">Last alle, Zugang unsegmentiert, Entscheidung alle, Energie alle</t>
  </si>
  <si>
    <t xml:space="preserve">CMO_T1_alle_hierarchisch</t>
  </si>
  <si>
    <t xml:space="preserve">Last alle, Zugang hierarchisch, Entscheidung alle, Energie alle</t>
  </si>
  <si>
    <t xml:space="preserve">CMO_T1_alle_spezialisiert</t>
  </si>
  <si>
    <t xml:space="preserve">Last alle, Zugang spezialisiert, Entscheidung alle, Energie alle</t>
  </si>
  <si>
    <t xml:space="preserve">CMO_T2_leicht_problemaktivitaet_KT</t>
  </si>
  <si>
    <t xml:space="preserve">Tab. 2, S. 10</t>
  </si>
  <si>
    <t xml:space="preserve">Mittlere Problemaktivität: Perioden mit Zuordnung eines Problems zu einer Gelegenheit, summiert über Probleme</t>
  </si>
  <si>
    <t xml:space="preserve">Mittelwert</t>
  </si>
  <si>
    <t xml:space="preserve">CMO_T2_leicht_aktivitaet_entscheidungstraeger_KX</t>
  </si>
  <si>
    <t xml:space="preserve">Mittlere Aktivität der Entscheidungsträger: Wechsel zwischen Gelegenheiten</t>
  </si>
  <si>
    <t xml:space="preserve">CMO_T2_leicht_entscheidungsschwierigkeit_KY</t>
  </si>
  <si>
    <t xml:space="preserve">Mittlere Entscheidungsschwierigkeit: aktive Perioden der Gelegenheiten</t>
  </si>
  <si>
    <t xml:space="preserve">CMO_T2_leicht_anteil_flight_oversight</t>
  </si>
  <si>
    <t xml:space="preserve">Anteil der getroffenen Entscheidungen durch Flight oder Oversight</t>
  </si>
  <si>
    <t xml:space="preserve">CMO_T2_mittel_problemaktivitaet_KT</t>
  </si>
  <si>
    <t xml:space="preserve">CMO_T2_mittel_aktivitaet_entscheidungstraeger_KX</t>
  </si>
  <si>
    <t xml:space="preserve">CMO_T2_mittel_entscheidungsschwierigkeit_KY</t>
  </si>
  <si>
    <t xml:space="preserve">CMO_T2_mittel_anteil_flight_oversight</t>
  </si>
  <si>
    <t xml:space="preserve">CMO_T2_schwer_problemaktivitaet_KT</t>
  </si>
  <si>
    <t xml:space="preserve">CMO_T2_schwer_aktivitaet_entscheidungstraeger_KX</t>
  </si>
  <si>
    <t xml:space="preserve">CMO_T2_schwer_entscheidungsschwierigkeit_KY</t>
  </si>
  <si>
    <t xml:space="preserve">CMO_T2_schwer_anteil_flight_oversight</t>
  </si>
  <si>
    <t xml:space="preserve">CMO_T3_hoch_frueh</t>
  </si>
  <si>
    <t xml:space="preserve">Tab. 3, S. 10</t>
  </si>
  <si>
    <t xml:space="preserve">Anteil gelöster Probleme</t>
  </si>
  <si>
    <t xml:space="preserve">Last alle, Zugang hierarchisch, Entscheidung alle, Energie alle, Wichtigkeit hoch, Ankunft früh (erste 10)</t>
  </si>
  <si>
    <t xml:space="preserve">CMO_T3_hoch_spaet</t>
  </si>
  <si>
    <t xml:space="preserve">Last alle, Zugang hierarchisch, Entscheidung alle, Energie alle, Wichtigkeit hoch, Ankunft spät (letzte 10)</t>
  </si>
  <si>
    <t xml:space="preserve">CMO_T3_niedrig_frueh</t>
  </si>
  <si>
    <t xml:space="preserve">Last alle, Zugang hierarchisch, Entscheidung alle, Energie alle, Wichtigkeit niedrig, Ankunft früh (erste 10)</t>
  </si>
  <si>
    <t xml:space="preserve">CMO_T3_niedrig_spaet</t>
  </si>
  <si>
    <t xml:space="preserve">Last alle, Zugang hierarchisch, Entscheidung alle, Energie alle, Wichtigkeit niedrig, Ankunft spät (letzte 10)</t>
  </si>
  <si>
    <t xml:space="preserve">CMO_T4_hoch_frueh</t>
  </si>
  <si>
    <t xml:space="preserve">Tab. 4, S. 11</t>
  </si>
  <si>
    <t xml:space="preserve">Anteil der Entscheidungen durch Flight oder Oversight</t>
  </si>
  <si>
    <t xml:space="preserve">Last alle, Zugang hierarchisch oder Entscheidung hierarchisch, Entscheidung hierarchisch oder Zugang hierarchisch, Energie alle, Wichtigkeit hoch, Ankunft früh (erste 5)</t>
  </si>
  <si>
    <t xml:space="preserve">CMO_T4_hoch_spaet</t>
  </si>
  <si>
    <t xml:space="preserve">Last alle, Zugang hierarchisch oder Entscheidung hierarchisch, Entscheidung hierarchisch oder Zugang hierarchisch, Energie alle, Wichtigkeit hoch, Ankunft spät (letzte 5)</t>
  </si>
  <si>
    <t xml:space="preserve">CMO_T4_niedrig_frueh</t>
  </si>
  <si>
    <t xml:space="preserve">Last alle, Zugang hierarchisch oder Entscheidung hierarchisch, Entscheidung hierarchisch oder Zugang hierarchisch, Energie alle, Wichtigkeit niedrig, Ankunft früh (erste 5)</t>
  </si>
  <si>
    <t xml:space="preserve">CMO_T4_niedrig_spaet</t>
  </si>
  <si>
    <t xml:space="preserve">Last alle, Zugang hierarchisch oder Entscheidung hierarchisch, Entscheidung hierarchisch oder Zugang hierarchisch, Energie alle, Wichtigkeit niedrig, Ankunft spät (letzte 5)</t>
  </si>
  <si>
    <t xml:space="preserve">CMO_Wahlausfall_oberste_3</t>
  </si>
  <si>
    <t xml:space="preserve">Text, S. 11</t>
  </si>
  <si>
    <t xml:space="preserve">Anteil nicht getroffener Entscheidungen am Ende von Periode 20</t>
  </si>
  <si>
    <t xml:space="preserve">Last alle, Zugang hierarchisch oder Entscheidung hierarchisch, Entscheidung hierarchisch oder Zugang hierarchisch, Energie alle, Wichtigkeit oberste 3</t>
  </si>
  <si>
    <t xml:space="preserve">CMO_Wahlausfall_mittlere_4</t>
  </si>
  <si>
    <t xml:space="preserve">Last alle, Zugang hierarchisch oder Entscheidung hierarchisch, Entscheidung hierarchisch oder Zugang hierarchisch, Energie alle, Wichtigkeit mittlere 4</t>
  </si>
  <si>
    <t xml:space="preserve">CMO_Wahlausfall_unterste_3</t>
  </si>
  <si>
    <t xml:space="preserve">Last alle, Zugang hierarchisch oder Entscheidung hierarchisch, Entscheidung hierarchisch oder Zugang hierarchisch, Energie alle, Wichtigkeit unterste 3</t>
  </si>
  <si>
    <t xml:space="preserve">CMO_T5_0200_anteil_resolution</t>
  </si>
  <si>
    <t xml:space="preserve">Tab. 5, S. 17</t>
  </si>
  <si>
    <t xml:space="preserve">Anteil der Entscheidungen durch Resolution</t>
  </si>
  <si>
    <t xml:space="preserve">Last leicht, Zugang spezialisiert, Entscheidung unsegmentiert, Energie E0, Code 0200</t>
  </si>
  <si>
    <t xml:space="preserve">CMO_T5_0200_problemaktivitaet_KT</t>
  </si>
  <si>
    <t xml:space="preserve">Zählwert</t>
  </si>
  <si>
    <t xml:space="preserve">CMO_T5_0200_problemlatenz_KU</t>
  </si>
  <si>
    <t xml:space="preserve">CMO_T5_0200_aktivitaet_entscheidungstraeger_KX</t>
  </si>
  <si>
    <t xml:space="preserve">CMO_T5_0200_entscheidungszeit_KY</t>
  </si>
  <si>
    <t xml:space="preserve">CMO_T5_1110_anteil_resolution</t>
  </si>
  <si>
    <t xml:space="preserve">Last mittel, Zugang hierarchisch, Entscheidung hierarchisch, Energie E0, Code 1110</t>
  </si>
  <si>
    <t xml:space="preserve">CMO_T5_1110_problemaktivitaet_KT</t>
  </si>
  <si>
    <t xml:space="preserve">CMO_T5_1110_problemlatenz_KU</t>
  </si>
  <si>
    <t xml:space="preserve">CMO_T5_1110_aktivitaet_entscheidungstraeger_KX</t>
  </si>
  <si>
    <t xml:space="preserve">CMO_T5_1110_entscheidungszeit_KY</t>
  </si>
  <si>
    <t xml:space="preserve">CMO_T5_0111_anteil_resolution</t>
  </si>
  <si>
    <t xml:space="preserve">Last leicht, Zugang hierarchisch, Entscheidung hierarchisch, Energie E1, Code 0111</t>
  </si>
  <si>
    <t xml:space="preserve">CMO_T5_0111_problemaktivitaet_KT</t>
  </si>
  <si>
    <t xml:space="preserve">CMO_T5_0111_problemlatenz_KU</t>
  </si>
  <si>
    <t xml:space="preserve">CMO_T5_0111_aktivitaet_entscheidungstraeger_KX</t>
  </si>
  <si>
    <t xml:space="preserve">CMO_T5_0111_entscheidungszeit_KY</t>
  </si>
  <si>
    <t xml:space="preserve">CMO_T5_1112_anteil_resolution</t>
  </si>
  <si>
    <t xml:space="preserve">Last mittel, Zugang hierarchisch, Entscheidung hierarchisch, Energie E2, Code 1112</t>
  </si>
  <si>
    <t xml:space="preserve">CMO_T5_1112_problemaktivitaet_KT</t>
  </si>
  <si>
    <t xml:space="preserve">CMO_T5_1112_problemlatenz_KU</t>
  </si>
  <si>
    <t xml:space="preserve">CMO_T5_1112_aktivitaet_entscheidungstraeger_KX</t>
  </si>
  <si>
    <t xml:space="preserve">CMO_T5_1112_entscheidungszeit_KY</t>
  </si>
  <si>
    <t xml:space="preserve">CMO_T5_2112_anteil_resolution</t>
  </si>
  <si>
    <t xml:space="preserve">Last schwer, Zugang hierarchisch, Entscheidung hierarchisch, Energie E2, Code 2112</t>
  </si>
  <si>
    <t xml:space="preserve">CMO_T5_2112_problemaktivitaet_KT</t>
  </si>
  <si>
    <t xml:space="preserve">CMO_T5_2112_problemlatenz_KU</t>
  </si>
  <si>
    <t xml:space="preserve">CMO_T5_2112_aktivitaet_entscheidungstraeger_KX</t>
  </si>
  <si>
    <t xml:space="preserve">CMO_T5_2112_entscheidungszeit_KY</t>
  </si>
  <si>
    <t xml:space="preserve">CMO_T5_1111_anteil_resolution</t>
  </si>
  <si>
    <t xml:space="preserve">Last mittel, Zugang hierarchisch, Entscheidung hierarchisch, Energie E1, Code 1111</t>
  </si>
  <si>
    <t xml:space="preserve">CMO_T5_1111_problemaktivitaet_KT</t>
  </si>
  <si>
    <t xml:space="preserve">CMO_T5_1111_problemlatenz_KU</t>
  </si>
  <si>
    <t xml:space="preserve">CMO_T5_1111_aktivitaet_entscheidungstraeger_KX</t>
  </si>
  <si>
    <t xml:space="preserve">CMO_T5_1111_entscheidungszeit_KY</t>
  </si>
  <si>
    <t xml:space="preserve">CMO_T5_0002_anteil_resolution</t>
  </si>
  <si>
    <t xml:space="preserve">Last leicht, Zugang unsegmentiert, Entscheidung unsegmentiert, Energie E2, Code 0002</t>
  </si>
  <si>
    <t xml:space="preserve">CMO_T5_0002_problemaktivitaet_KT</t>
  </si>
  <si>
    <t xml:space="preserve">CMO_T5_0002_problemlatenz_KU</t>
  </si>
  <si>
    <t xml:space="preserve">CMO_T5_0002_aktivitaet_entscheidungstraeger_KX</t>
  </si>
  <si>
    <t xml:space="preserve">CMO_T5_0002_entscheidungszeit_KY</t>
  </si>
  <si>
    <t xml:space="preserve">CMO_T5_1002_anteil_resolution</t>
  </si>
  <si>
    <t xml:space="preserve">Last mittel, Zugang unsegmentiert, Entscheidung unsegmentiert, Energie E2, Code 1002</t>
  </si>
  <si>
    <t xml:space="preserve">CMO_T5_1002_problemaktivitaet_KT</t>
  </si>
  <si>
    <t xml:space="preserve">CMO_T5_1002_problemlatenz_KU</t>
  </si>
  <si>
    <t xml:space="preserve">CMO_T5_1002_aktivitaet_entscheidungstraeger_KX</t>
  </si>
  <si>
    <t xml:space="preserve">CMO_T5_1002_entscheidungszeit_KY</t>
  </si>
  <si>
    <t xml:space="preserve">CMO_T5_0001_anteil_resolution</t>
  </si>
  <si>
    <t xml:space="preserve">Last leicht, Zugang unsegmentiert, Entscheidung unsegmentiert, Energie E1, Code 0001</t>
  </si>
  <si>
    <t xml:space="preserve">CMO_T5_0001_problemaktivitaet_KT</t>
  </si>
  <si>
    <t xml:space="preserve">CMO_T5_0001_problemlatenz_KU</t>
  </si>
  <si>
    <t xml:space="preserve">CMO_T5_0001_aktivitaet_entscheidungstraeger_KX</t>
  </si>
  <si>
    <t xml:space="preserve">CMO_T5_0001_entscheidungszeit_KY</t>
  </si>
  <si>
    <t xml:space="preserve">CMO_T5_1221_anteil_resolution</t>
  </si>
  <si>
    <t xml:space="preserve">Last mittel, Zugang spezialisiert, Entscheidung spezialisiert, Energie E1, Code 1221</t>
  </si>
  <si>
    <t xml:space="preserve">CMO_T5_1221_problemaktivitaet_KT</t>
  </si>
  <si>
    <t xml:space="preserve">CMO_T5_1221_problemlatenz_KU</t>
  </si>
  <si>
    <t xml:space="preserve">CMO_T5_1221_aktivitaet_entscheidungstraeger_KX</t>
  </si>
  <si>
    <t xml:space="preserve">CMO_T5_1221_entscheidungszeit_KY</t>
  </si>
  <si>
    <t xml:space="preserve">CMO_T5_2211_anteil_resolution</t>
  </si>
  <si>
    <t xml:space="preserve">Last schwer, Zugang spezialisiert, Entscheidung hierarchisch, Energie E1, Code 2211</t>
  </si>
  <si>
    <t xml:space="preserve">CMO_T5_2211_problemaktivitaet_KT</t>
  </si>
  <si>
    <t xml:space="preserve">CMO_T5_2211_problemlatenz_KU</t>
  </si>
  <si>
    <t xml:space="preserve">CMO_T5_2211_aktivitaet_entscheidungstraeger_KX</t>
  </si>
  <si>
    <t xml:space="preserve">CMO_T5_2211_entscheidungszeit_KY</t>
  </si>
  <si>
    <t xml:space="preserve">CMO_T5_1211_anteil_resolution</t>
  </si>
  <si>
    <t xml:space="preserve">Last mittel, Zugang spezialisiert, Entscheidung hierarchisch, Energie E1, Code 1211</t>
  </si>
  <si>
    <t xml:space="preserve">CMO_T5_1211_problemaktivitaet_KT</t>
  </si>
  <si>
    <t xml:space="preserve">CMO_T5_1211_problemlatenz_KU</t>
  </si>
  <si>
    <t xml:space="preserve">CMO_T5_1211_aktivitaet_entscheidungstraeger_KX</t>
  </si>
  <si>
    <t xml:space="preserve">CMO_T5_1211_entscheidungszeit_KY</t>
  </si>
  <si>
    <t xml:space="preserve">CMO_Text_mittel_nicht_getroffen</t>
  </si>
  <si>
    <t xml:space="preserve">Text, S. 9</t>
  </si>
  <si>
    <t xml:space="preserve">Mittlere Zahl nicht getroffener Entscheidungen je Lauf</t>
  </si>
  <si>
    <t xml:space="preserve">CMO_Text_mittel_ungeloest</t>
  </si>
  <si>
    <t xml:space="preserve">Mittlere Zahl ungelöster Probleme je Lauf</t>
  </si>
  <si>
    <t xml:space="preserve">Alle Zahlenwerte im Long-Format (gleiche Inhalte wie die CSV-Datei)</t>
  </si>
  <si>
    <t xml:space="preserve">Spalte wert verweist per Formel auf die Zelle im Quellblatt (Spalten blatt und zelle).</t>
  </si>
  <si>
    <t xml:space="preserve">id</t>
  </si>
  <si>
    <t xml:space="preserve">quelle</t>
  </si>
  <si>
    <t xml:space="preserve">fundstelle</t>
  </si>
  <si>
    <t xml:space="preserve">kennzahl</t>
  </si>
  <si>
    <t xml:space="preserve">kennzahl_code</t>
  </si>
  <si>
    <t xml:space="preserve">einheit</t>
  </si>
  <si>
    <t xml:space="preserve">last</t>
  </si>
  <si>
    <t xml:space="preserve">zugang</t>
  </si>
  <si>
    <t xml:space="preserve">entscheidung</t>
  </si>
  <si>
    <t xml:space="preserve">energie</t>
  </si>
  <si>
    <t xml:space="preserve">wichtigkeit</t>
  </si>
  <si>
    <t xml:space="preserve">ankunft</t>
  </si>
  <si>
    <t xml:space="preserve">org_code</t>
  </si>
  <si>
    <t xml:space="preserve">hochschultyp</t>
  </si>
  <si>
    <t xml:space="preserve">situation</t>
  </si>
  <si>
    <t xml:space="preserve">schwierigkeit</t>
  </si>
  <si>
    <t xml:space="preserve">schritte</t>
  </si>
  <si>
    <t xml:space="preserve">wert</t>
  </si>
  <si>
    <t xml:space="preserve">wert_anzeige</t>
  </si>
  <si>
    <t xml:space="preserve">werttyp</t>
  </si>
  <si>
    <t xml:space="preserve">unsicherheit</t>
  </si>
  <si>
    <t xml:space="preserve">aggregation</t>
  </si>
  <si>
    <t xml:space="preserve">anmerkung</t>
  </si>
  <si>
    <t xml:space="preserve">blatt</t>
  </si>
  <si>
    <t xml:space="preserve">zelle</t>
  </si>
  <si>
    <t xml:space="preserve">Cohen_March_Olsen_1972</t>
  </si>
  <si>
    <t xml:space="preserve">anteil_resolution</t>
  </si>
  <si>
    <t xml:space="preserve">Anteil 0 bis 1</t>
  </si>
  <si>
    <t xml:space="preserve">alle</t>
  </si>
  <si>
    <t xml:space="preserve">0.55</t>
  </si>
  <si>
    <t xml:space="preserve">Rundung +/- 0,005</t>
  </si>
  <si>
    <t xml:space="preserve">Mittel über die vier Eintrittsfolgen; 108 Läufe (aus dem Versuchsplan abgeleitet)</t>
  </si>
  <si>
    <t xml:space="preserve">Bezugsgröße sind die getroffenen Entscheidungen.</t>
  </si>
  <si>
    <t xml:space="preserve">CMO_Tab1</t>
  </si>
  <si>
    <t xml:space="preserve">B5</t>
  </si>
  <si>
    <t xml:space="preserve">unsegmentiert</t>
  </si>
  <si>
    <t xml:space="preserve">0.38</t>
  </si>
  <si>
    <t xml:space="preserve">Mittel über die vier Eintrittsfolgen; 36 Läufe (aus dem Versuchsplan abgeleitet)</t>
  </si>
  <si>
    <t xml:space="preserve">C5</t>
  </si>
  <si>
    <t xml:space="preserve">hierarchisch</t>
  </si>
  <si>
    <t xml:space="preserve">0.61</t>
  </si>
  <si>
    <t xml:space="preserve">D5</t>
  </si>
  <si>
    <t xml:space="preserve">spezialisiert</t>
  </si>
  <si>
    <t xml:space="preserve">0.65</t>
  </si>
  <si>
    <t xml:space="preserve">E5</t>
  </si>
  <si>
    <t xml:space="preserve">0.30</t>
  </si>
  <si>
    <t xml:space="preserve">B6</t>
  </si>
  <si>
    <t xml:space="preserve">0.04</t>
  </si>
  <si>
    <t xml:space="preserve">C6</t>
  </si>
  <si>
    <t xml:space="preserve">0.27</t>
  </si>
  <si>
    <t xml:space="preserve">D6</t>
  </si>
  <si>
    <t xml:space="preserve">0.60</t>
  </si>
  <si>
    <t xml:space="preserve">E6</t>
  </si>
  <si>
    <t xml:space="preserve">0.36</t>
  </si>
  <si>
    <t xml:space="preserve">B7</t>
  </si>
  <si>
    <t xml:space="preserve">0.35</t>
  </si>
  <si>
    <t xml:space="preserve">C7</t>
  </si>
  <si>
    <t xml:space="preserve">0.23</t>
  </si>
  <si>
    <t xml:space="preserve">D7</t>
  </si>
  <si>
    <t xml:space="preserve">0.50</t>
  </si>
  <si>
    <t xml:space="preserve">E7</t>
  </si>
  <si>
    <t xml:space="preserve">0.40</t>
  </si>
  <si>
    <t xml:space="preserve">Mittel über die vier Eintrittsfolgen; 324 Läufe (aus dem Versuchsplan abgeleitet)</t>
  </si>
  <si>
    <t xml:space="preserve">B8</t>
  </si>
  <si>
    <t xml:space="preserve">0.26</t>
  </si>
  <si>
    <t xml:space="preserve">C8</t>
  </si>
  <si>
    <t xml:space="preserve">0.37</t>
  </si>
  <si>
    <t xml:space="preserve">D8</t>
  </si>
  <si>
    <t xml:space="preserve">0.58</t>
  </si>
  <si>
    <t xml:space="preserve">E8</t>
  </si>
  <si>
    <t xml:space="preserve">problemaktivitaet_KT</t>
  </si>
  <si>
    <t xml:space="preserve">Perioden (Summe über Probleme)</t>
  </si>
  <si>
    <t xml:space="preserve">114.9</t>
  </si>
  <si>
    <t xml:space="preserve">Mittel über 27 Strukturkombinationen und 4 Eintrittsfolgen; 108 Läufe je Last (aus dem Versuchsplan abgeleitet)</t>
  </si>
  <si>
    <t xml:space="preserve">CMO_Tab2</t>
  </si>
  <si>
    <t xml:space="preserve">aktivitaet_entscheidungstraeger_KX</t>
  </si>
  <si>
    <t xml:space="preserve">Wechsel (Summe über Entscheidungsträger)</t>
  </si>
  <si>
    <t xml:space="preserve">60.9</t>
  </si>
  <si>
    <t xml:space="preserve">entscheidungsschwierigkeit_KY</t>
  </si>
  <si>
    <t xml:space="preserve">Perioden (Summe über Gelegenheiten)</t>
  </si>
  <si>
    <t xml:space="preserve">19.5</t>
  </si>
  <si>
    <t xml:space="preserve">anteil_flight_oversight</t>
  </si>
  <si>
    <t xml:space="preserve">0.45</t>
  </si>
  <si>
    <t xml:space="preserve">204.3</t>
  </si>
  <si>
    <t xml:space="preserve">63.8</t>
  </si>
  <si>
    <t xml:space="preserve">32.9</t>
  </si>
  <si>
    <t xml:space="preserve">0.70</t>
  </si>
  <si>
    <t xml:space="preserve">211.1</t>
  </si>
  <si>
    <t xml:space="preserve">76.6</t>
  </si>
  <si>
    <t xml:space="preserve">46.1</t>
  </si>
  <si>
    <t xml:space="preserve">0.64</t>
  </si>
  <si>
    <t xml:space="preserve">anteil_probleme_geloest</t>
  </si>
  <si>
    <t xml:space="preserve">früh (erste 10)</t>
  </si>
  <si>
    <t xml:space="preserve">0.46</t>
  </si>
  <si>
    <t xml:space="preserve">Läufe mit hierarchischem Zugang: 3 Lasten x 3 Entscheidungsstrukturen x 3 Energieverteilungen x 4 Eintrittsfolgen = 108 (abgeleitet)</t>
  </si>
  <si>
    <t xml:space="preserve">CMO_Tab3_Tab4</t>
  </si>
  <si>
    <t xml:space="preserve">spät (letzte 10)</t>
  </si>
  <si>
    <t xml:space="preserve">0.44</t>
  </si>
  <si>
    <t xml:space="preserve">0.48</t>
  </si>
  <si>
    <t xml:space="preserve">0.25</t>
  </si>
  <si>
    <t xml:space="preserve">hierarchisch oder Entscheidung hierarchisch</t>
  </si>
  <si>
    <t xml:space="preserve">hierarchisch oder Zugang hierarchisch</t>
  </si>
  <si>
    <t xml:space="preserve">früh (erste 5)</t>
  </si>
  <si>
    <t xml:space="preserve">0.86</t>
  </si>
  <si>
    <t xml:space="preserve">Strukturkombinationen mit mindestens einer hierarchischen Struktur: 5 x 3 Lasten x 3 Energieverteilungen x 4 Eintrittsfolgen = 180 Läufe (abgeleitet)</t>
  </si>
  <si>
    <t xml:space="preserve">Bezugsgröße vermutlich die getroffenen Entscheidungen der Zelle.</t>
  </si>
  <si>
    <t xml:space="preserve">B16</t>
  </si>
  <si>
    <t xml:space="preserve">spät (letzte 5)</t>
  </si>
  <si>
    <t xml:space="preserve">C16</t>
  </si>
  <si>
    <t xml:space="preserve">0.54</t>
  </si>
  <si>
    <t xml:space="preserve">B17</t>
  </si>
  <si>
    <t xml:space="preserve">C17</t>
  </si>
  <si>
    <t xml:space="preserve">anteil_wahlausfaelle_KZ</t>
  </si>
  <si>
    <t xml:space="preserve">oberste 3</t>
  </si>
  <si>
    <t xml:space="preserve">0.14</t>
  </si>
  <si>
    <t xml:space="preserve">180 Läufe wie Tab. 4 (abgeleitet)</t>
  </si>
  <si>
    <t xml:space="preserve">B24</t>
  </si>
  <si>
    <t xml:space="preserve">mittlere 4</t>
  </si>
  <si>
    <t xml:space="preserve">0.05</t>
  </si>
  <si>
    <t xml:space="preserve">B25</t>
  </si>
  <si>
    <t xml:space="preserve">unterste 3</t>
  </si>
  <si>
    <t xml:space="preserve">0.12</t>
  </si>
  <si>
    <t xml:space="preserve">B26</t>
  </si>
  <si>
    <t xml:space="preserve">E0</t>
  </si>
  <si>
    <t xml:space="preserve">0.68</t>
  </si>
  <si>
    <t xml:space="preserve">Mittelung nicht angegeben; vermutlich über die vier Eintrittsfolgen</t>
  </si>
  <si>
    <t xml:space="preserve">CMO_Tab5</t>
  </si>
  <si>
    <t xml:space="preserve">H14</t>
  </si>
  <si>
    <t xml:space="preserve">0</t>
  </si>
  <si>
    <t xml:space="preserve">Rundung +/- 0,5</t>
  </si>
  <si>
    <t xml:space="preserve">Maßzuordnung zu KT, KU, KX, KY für Tab. 5 nicht ausdrücklich angegeben.</t>
  </si>
  <si>
    <t xml:space="preserve">I14</t>
  </si>
  <si>
    <t xml:space="preserve">problemlatenz_KU</t>
  </si>
  <si>
    <t xml:space="preserve">154</t>
  </si>
  <si>
    <t xml:space="preserve">J14</t>
  </si>
  <si>
    <t xml:space="preserve">100</t>
  </si>
  <si>
    <t xml:space="preserve">K14</t>
  </si>
  <si>
    <t xml:space="preserve">entscheidungszeit_KY</t>
  </si>
  <si>
    <t xml:space="preserve">L14</t>
  </si>
  <si>
    <t xml:space="preserve">0.21</t>
  </si>
  <si>
    <t xml:space="preserve">H15</t>
  </si>
  <si>
    <t xml:space="preserve">210</t>
  </si>
  <si>
    <t xml:space="preserve">I15</t>
  </si>
  <si>
    <t xml:space="preserve">23</t>
  </si>
  <si>
    <t xml:space="preserve">J15</t>
  </si>
  <si>
    <t xml:space="preserve">58</t>
  </si>
  <si>
    <t xml:space="preserve">K15</t>
  </si>
  <si>
    <t xml:space="preserve">34</t>
  </si>
  <si>
    <t xml:space="preserve">L15</t>
  </si>
  <si>
    <t xml:space="preserve">E1</t>
  </si>
  <si>
    <t xml:space="preserve">H16</t>
  </si>
  <si>
    <t xml:space="preserve">57</t>
  </si>
  <si>
    <t xml:space="preserve">I16</t>
  </si>
  <si>
    <t xml:space="preserve">60</t>
  </si>
  <si>
    <t xml:space="preserve">J16</t>
  </si>
  <si>
    <t xml:space="preserve">66</t>
  </si>
  <si>
    <t xml:space="preserve">K16</t>
  </si>
  <si>
    <t xml:space="preserve">14</t>
  </si>
  <si>
    <t xml:space="preserve">L16</t>
  </si>
  <si>
    <t xml:space="preserve">E2</t>
  </si>
  <si>
    <t xml:space="preserve">H17</t>
  </si>
  <si>
    <t xml:space="preserve">I17</t>
  </si>
  <si>
    <t xml:space="preserve">25</t>
  </si>
  <si>
    <t xml:space="preserve">J17</t>
  </si>
  <si>
    <t xml:space="preserve">K17</t>
  </si>
  <si>
    <t xml:space="preserve">31</t>
  </si>
  <si>
    <t xml:space="preserve">L17</t>
  </si>
  <si>
    <t xml:space="preserve">0.24</t>
  </si>
  <si>
    <t xml:space="preserve">H18</t>
  </si>
  <si>
    <t xml:space="preserve">248</t>
  </si>
  <si>
    <t xml:space="preserve">I18</t>
  </si>
  <si>
    <t xml:space="preserve">32</t>
  </si>
  <si>
    <t xml:space="preserve">J18</t>
  </si>
  <si>
    <t xml:space="preserve">55</t>
  </si>
  <si>
    <t xml:space="preserve">K18</t>
  </si>
  <si>
    <t xml:space="preserve">38</t>
  </si>
  <si>
    <t xml:space="preserve">L18</t>
  </si>
  <si>
    <t xml:space="preserve">0.31</t>
  </si>
  <si>
    <t xml:space="preserve">H19</t>
  </si>
  <si>
    <t xml:space="preserve">I19</t>
  </si>
  <si>
    <t xml:space="preserve">30</t>
  </si>
  <si>
    <t xml:space="preserve">J19</t>
  </si>
  <si>
    <t xml:space="preserve">K19</t>
  </si>
  <si>
    <t xml:space="preserve">28</t>
  </si>
  <si>
    <t xml:space="preserve">L19</t>
  </si>
  <si>
    <t xml:space="preserve">1.0</t>
  </si>
  <si>
    <t xml:space="preserve">H20</t>
  </si>
  <si>
    <t xml:space="preserve">I20</t>
  </si>
  <si>
    <t xml:space="preserve">J20</t>
  </si>
  <si>
    <t xml:space="preserve">K20</t>
  </si>
  <si>
    <t xml:space="preserve">L20</t>
  </si>
  <si>
    <t xml:space="preserve">H21</t>
  </si>
  <si>
    <t xml:space="preserve">310</t>
  </si>
  <si>
    <t xml:space="preserve">I21</t>
  </si>
  <si>
    <t xml:space="preserve">J21</t>
  </si>
  <si>
    <t xml:space="preserve">90</t>
  </si>
  <si>
    <t xml:space="preserve">K21</t>
  </si>
  <si>
    <t xml:space="preserve">20</t>
  </si>
  <si>
    <t xml:space="preserve">L21</t>
  </si>
  <si>
    <t xml:space="preserve">H22</t>
  </si>
  <si>
    <t xml:space="preserve">I22</t>
  </si>
  <si>
    <t xml:space="preserve">J22</t>
  </si>
  <si>
    <t xml:space="preserve">K22</t>
  </si>
  <si>
    <t xml:space="preserve">L22</t>
  </si>
  <si>
    <t xml:space="preserve">H23</t>
  </si>
  <si>
    <t xml:space="preserve">158</t>
  </si>
  <si>
    <t xml:space="preserve">I23</t>
  </si>
  <si>
    <t xml:space="preserve">127</t>
  </si>
  <si>
    <t xml:space="preserve">J23</t>
  </si>
  <si>
    <t xml:space="preserve">15</t>
  </si>
  <si>
    <t xml:space="preserve">K23</t>
  </si>
  <si>
    <t xml:space="preserve">83</t>
  </si>
  <si>
    <t xml:space="preserve">L23</t>
  </si>
  <si>
    <t xml:space="preserve">H24</t>
  </si>
  <si>
    <t xml:space="preserve">101</t>
  </si>
  <si>
    <t xml:space="preserve">I24</t>
  </si>
  <si>
    <t xml:space="preserve">148</t>
  </si>
  <si>
    <t xml:space="preserve">J24</t>
  </si>
  <si>
    <t xml:space="preserve">73</t>
  </si>
  <si>
    <t xml:space="preserve">K24</t>
  </si>
  <si>
    <t xml:space="preserve">52</t>
  </si>
  <si>
    <t xml:space="preserve">L24</t>
  </si>
  <si>
    <t xml:space="preserve">0.62</t>
  </si>
  <si>
    <t xml:space="preserve">H25</t>
  </si>
  <si>
    <t xml:space="preserve">78</t>
  </si>
  <si>
    <t xml:space="preserve">I25</t>
  </si>
  <si>
    <t xml:space="preserve">151</t>
  </si>
  <si>
    <t xml:space="preserve">J25</t>
  </si>
  <si>
    <t xml:space="preserve">76</t>
  </si>
  <si>
    <t xml:space="preserve">K25</t>
  </si>
  <si>
    <t xml:space="preserve">39</t>
  </si>
  <si>
    <t xml:space="preserve">L25</t>
  </si>
  <si>
    <t xml:space="preserve">mittel_entscheidungen_nicht_getroffen_KZ</t>
  </si>
  <si>
    <t xml:space="preserve">Entscheidungen je Lauf</t>
  </si>
  <si>
    <t xml:space="preserve">Mittel über 324 Läufe</t>
  </si>
  <si>
    <t xml:space="preserve">mittel_probleme_ungeloest_KW</t>
  </si>
  <si>
    <t xml:space="preserve">Probleme je Lauf</t>
  </si>
  <si>
    <t xml:space="preserve">12.3</t>
  </si>
  <si>
    <t xml:space="preserve">FL_Abb12_anteil_oversight_pct</t>
  </si>
  <si>
    <t xml:space="preserve">Fioretti_Lomi_2008_JASSS</t>
  </si>
  <si>
    <t xml:space="preserve">Abb. 12, Abs. 6.6 bis 6.9</t>
  </si>
  <si>
    <t xml:space="preserve">anteil_oversight_pct</t>
  </si>
  <si>
    <t xml:space="preserve">1.5</t>
  </si>
  <si>
    <t xml:space="preserve">91.1</t>
  </si>
  <si>
    <t xml:space="preserve">Mittel über 100 Läufe</t>
  </si>
  <si>
    <t xml:space="preserve">Basiswerte. Basiswerte, 100 Läufe. Entspricht dem CMO-Anteil von Flight plus Oversight.</t>
  </si>
  <si>
    <t xml:space="preserve">FL_Abb12_13_18</t>
  </si>
  <si>
    <t xml:space="preserve">FL_Abb12_anteil_resolution_pct</t>
  </si>
  <si>
    <t xml:space="preserve">anteil_resolution_pct</t>
  </si>
  <si>
    <t xml:space="preserve">8.9</t>
  </si>
  <si>
    <t xml:space="preserve">Basiswerte. Basiswerte, 100 Läufe.</t>
  </si>
  <si>
    <t xml:space="preserve">FL_Abb13_flights_gefolgt_oversight_pct</t>
  </si>
  <si>
    <t xml:space="preserve">Abb. 13, Abs. 6.6 bis 6.9</t>
  </si>
  <si>
    <t xml:space="preserve">flights_gefolgt_oversight_pct</t>
  </si>
  <si>
    <t xml:space="preserve">8.7</t>
  </si>
  <si>
    <t xml:space="preserve">FL_Abb13_flights_gefolgt_resolution_pct</t>
  </si>
  <si>
    <t xml:space="preserve">flights_gefolgt_resolution_pct</t>
  </si>
  <si>
    <t xml:space="preserve">3.6</t>
  </si>
  <si>
    <t xml:space="preserve">FL_Abb13_flights_ohne_folge_pct</t>
  </si>
  <si>
    <t xml:space="preserve">flights_ohne_folge_pct</t>
  </si>
  <si>
    <t xml:space="preserve">87.7</t>
  </si>
  <si>
    <t xml:space="preserve">Basiswerte. Laut Abs. 6.9 lösen die meisten Flights keine Entscheidung aus.</t>
  </si>
  <si>
    <t xml:space="preserve">C9</t>
  </si>
  <si>
    <t xml:space="preserve">FL_Abb18_dejavu_gelegenheiten_pct</t>
  </si>
  <si>
    <t xml:space="preserve">Abb. 18, Abs. 6.30</t>
  </si>
  <si>
    <t xml:space="preserve">dejavu_gelegenheiten_pct</t>
  </si>
  <si>
    <t xml:space="preserve">13.4</t>
  </si>
  <si>
    <t xml:space="preserve">Aufbau Abs. 6.30. Abs. 6.30; Definition Gl. 6: Flights / (Oversights + Resolutionen + 2 x Flights) x 100.</t>
  </si>
  <si>
    <t xml:space="preserve">C10</t>
  </si>
  <si>
    <t xml:space="preserve">FL_Abb18_dejavu_loesungen_pct</t>
  </si>
  <si>
    <t xml:space="preserve">dejavu_loesungen_pct</t>
  </si>
  <si>
    <t xml:space="preserve">15.5</t>
  </si>
  <si>
    <t xml:space="preserve">Aufbau Abs. 6.30. Abs. 6.30; Gl. 7: Flights / (Oversights + Resolutionen + Flights) x 100.</t>
  </si>
  <si>
    <t xml:space="preserve">C11</t>
  </si>
  <si>
    <t xml:space="preserve">FL_Abb18_dejavu_probleme_pct</t>
  </si>
  <si>
    <t xml:space="preserve">dejavu_probleme_pct</t>
  </si>
  <si>
    <t xml:space="preserve">63.2</t>
  </si>
  <si>
    <t xml:space="preserve">Aufbau Abs. 6.30. Abs. 6.30; Gl. 8: Flights / (Resolutionen + Flights) x 100. Eigener Aufbau, siehe FL_Design.</t>
  </si>
  <si>
    <t xml:space="preserve">C12</t>
  </si>
  <si>
    <t xml:space="preserve">FL_Abb14_participant_jumps_0.5</t>
  </si>
  <si>
    <t xml:space="preserve">Abb. 14, Abs. 6.13 bis 6.15</t>
  </si>
  <si>
    <t xml:space="preserve">Indexwert Part.Jumps (Schwierigkeit 0,5 = 100)</t>
  </si>
  <si>
    <t xml:space="preserve">index_participant_jumps</t>
  </si>
  <si>
    <t xml:space="preserve">Index</t>
  </si>
  <si>
    <t xml:space="preserve">0.5</t>
  </si>
  <si>
    <t xml:space="preserve">Zuverlässigkeit hoch. Eindeutig erkennbare Linie; Ablesegenauigkeit etwa +/- 10 Prozent relativ.</t>
  </si>
  <si>
    <t xml:space="preserve">FL_Abb14</t>
  </si>
  <si>
    <t xml:space="preserve">FL_Abb14_participant_jumps_1.0</t>
  </si>
  <si>
    <t xml:space="preserve">3300</t>
  </si>
  <si>
    <t xml:space="preserve">+/- 10 Prozent relativ</t>
  </si>
  <si>
    <t xml:space="preserve">FL_Abb14_participant_jumps_1.5</t>
  </si>
  <si>
    <t xml:space="preserve">26200</t>
  </si>
  <si>
    <t xml:space="preserve">FL_Abb14_participant_jumps_2.0</t>
  </si>
  <si>
    <t xml:space="preserve">2.0</t>
  </si>
  <si>
    <t xml:space="preserve">25200</t>
  </si>
  <si>
    <t xml:space="preserve">FL_Abb14_participant_jumps_2.5</t>
  </si>
  <si>
    <t xml:space="preserve">2.5</t>
  </si>
  <si>
    <t xml:space="preserve">F5</t>
  </si>
  <si>
    <t xml:space="preserve">FL_Abb14_participant_bindings_0.5</t>
  </si>
  <si>
    <t xml:space="preserve">Indexwert Part.Bindings (Schwierigkeit 0,5 = 100)</t>
  </si>
  <si>
    <t xml:space="preserve">index_participant_bindings</t>
  </si>
  <si>
    <t xml:space="preserve">Zuverlässigkeit hoch. Eindeutig erkennbare Linie; etwa +/- 10 Prozent relativ.</t>
  </si>
  <si>
    <t xml:space="preserve">FL_Abb14_participant_bindings_1.0</t>
  </si>
  <si>
    <t xml:space="preserve">8800</t>
  </si>
  <si>
    <t xml:space="preserve">FL_Abb14_participant_bindings_1.5</t>
  </si>
  <si>
    <t xml:space="preserve">13000</t>
  </si>
  <si>
    <t xml:space="preserve">FL_Abb14_participant_bindings_2.0</t>
  </si>
  <si>
    <t xml:space="preserve">13500</t>
  </si>
  <si>
    <t xml:space="preserve">FL_Abb14_participant_bindings_2.5</t>
  </si>
  <si>
    <t xml:space="preserve">17000</t>
  </si>
  <si>
    <t xml:space="preserve">F6</t>
  </si>
  <si>
    <t xml:space="preserve">FL_Abb14_problem_bindings_0.5</t>
  </si>
  <si>
    <t xml:space="preserve">Indexwert Probl.Bindings (Schwierigkeit 0,5 = 100)</t>
  </si>
  <si>
    <t xml:space="preserve">index_problem_bindings</t>
  </si>
  <si>
    <t xml:space="preserve">Zuverlässigkeit mittel. Ab 1,5 nahe an Flights und Part.Bindings; etwa +/- 15 Prozent relativ.</t>
  </si>
  <si>
    <t xml:space="preserve">FL_Abb14_problem_bindings_1.0</t>
  </si>
  <si>
    <t xml:space="preserve">2300</t>
  </si>
  <si>
    <t xml:space="preserve">+/- 15 Prozent relativ</t>
  </si>
  <si>
    <t xml:space="preserve">FL_Abb14_problem_bindings_1.5</t>
  </si>
  <si>
    <t xml:space="preserve">13800</t>
  </si>
  <si>
    <t xml:space="preserve">FL_Abb14_problem_bindings_2.0</t>
  </si>
  <si>
    <t xml:space="preserve">14600</t>
  </si>
  <si>
    <t xml:space="preserve">FL_Abb14_problem_bindings_2.5</t>
  </si>
  <si>
    <t xml:space="preserve">15700</t>
  </si>
  <si>
    <t xml:space="preserve">F7</t>
  </si>
  <si>
    <t xml:space="preserve">FL_Abb14_flights_0.5</t>
  </si>
  <si>
    <t xml:space="preserve">Indexwert Flights (Schwierigkeit 0,5 = 100)</t>
  </si>
  <si>
    <t xml:space="preserve">index_flights</t>
  </si>
  <si>
    <t xml:space="preserve">Zuverlässigkeit mittel. Ab 1,5 nahe an Probl.Bindings; etwa +/- 15 Prozent relativ.</t>
  </si>
  <si>
    <t xml:space="preserve">FL_Abb14_flights_1.0</t>
  </si>
  <si>
    <t xml:space="preserve">2000</t>
  </si>
  <si>
    <t xml:space="preserve">FL_Abb14_flights_1.5</t>
  </si>
  <si>
    <t xml:space="preserve">14900</t>
  </si>
  <si>
    <t xml:space="preserve">FL_Abb14_flights_2.0</t>
  </si>
  <si>
    <t xml:space="preserve">16300</t>
  </si>
  <si>
    <t xml:space="preserve">FL_Abb14_flights_2.5</t>
  </si>
  <si>
    <t xml:space="preserve">19400</t>
  </si>
  <si>
    <t xml:space="preserve">F8</t>
  </si>
  <si>
    <t xml:space="preserve">FL_Abb14_excess_energy_per_resolution_0.5</t>
  </si>
  <si>
    <t xml:space="preserve">Indexwert Exc.En./Resol. (Schwierigkeit 0,5 = 100)</t>
  </si>
  <si>
    <t xml:space="preserve">index_excess_energy_per_resolution</t>
  </si>
  <si>
    <t xml:space="preserve">Zuverlässigkeit mittel. Bei 1,0 am unteren Achsenrand abgeschnitten, Wert 10 ist eine Obergrenze. Verlauf nicht monoton.</t>
  </si>
  <si>
    <t xml:space="preserve">B9</t>
  </si>
  <si>
    <t xml:space="preserve">FL_Abb14_excess_energy_per_resolution_1.0</t>
  </si>
  <si>
    <t xml:space="preserve">&lt;= 10 (abgeschnitten)</t>
  </si>
  <si>
    <t xml:space="preserve">FL_Abb14_excess_energy_per_resolution_1.5</t>
  </si>
  <si>
    <t xml:space="preserve">D9</t>
  </si>
  <si>
    <t xml:space="preserve">FL_Abb14_excess_energy_per_resolution_2.0</t>
  </si>
  <si>
    <t xml:space="preserve">E9</t>
  </si>
  <si>
    <t xml:space="preserve">FL_Abb14_excess_energy_per_resolution_2.5</t>
  </si>
  <si>
    <t xml:space="preserve">110</t>
  </si>
  <si>
    <t xml:space="preserve">F9</t>
  </si>
  <si>
    <t xml:space="preserve">FL_Abb14_oversights_per_decision_0.5</t>
  </si>
  <si>
    <t xml:space="preserve">Indexwert Overs./Tot.Dec. (Schwierigkeit 0,5 = 100)</t>
  </si>
  <si>
    <t xml:space="preserve">index_oversights_per_decision</t>
  </si>
  <si>
    <t xml:space="preserve">Zuverlässigkeit niedrig. Linie im Bündel zwischen etwa 95 und 145; Zuordnung über die Farbe schwarz.</t>
  </si>
  <si>
    <t xml:space="preserve">B10</t>
  </si>
  <si>
    <t xml:space="preserve">FL_Abb14_oversights_per_decision_1.0</t>
  </si>
  <si>
    <t xml:space="preserve">Bereich etwa 95 bis 145, Linie nicht sicher trennbar</t>
  </si>
  <si>
    <t xml:space="preserve">FL_Abb14_oversights_per_decision_1.5</t>
  </si>
  <si>
    <t xml:space="preserve">119</t>
  </si>
  <si>
    <t xml:space="preserve">D10</t>
  </si>
  <si>
    <t xml:space="preserve">FL_Abb14_oversights_per_decision_2.0</t>
  </si>
  <si>
    <t xml:space="preserve">124</t>
  </si>
  <si>
    <t xml:space="preserve">E10</t>
  </si>
  <si>
    <t xml:space="preserve">FL_Abb14_oversights_per_decision_2.5</t>
  </si>
  <si>
    <t xml:space="preserve">F10</t>
  </si>
  <si>
    <t xml:space="preserve">FL_Abb14_unexploited_opportunities_0.5</t>
  </si>
  <si>
    <t xml:space="preserve">Indexwert Unexploited Opp. (Schwierigkeit 0,5 = 100)</t>
  </si>
  <si>
    <t xml:space="preserve">index_unexploited_opportunities</t>
  </si>
  <si>
    <t xml:space="preserve">Zuverlässigkeit niedrig. Im Bündel; mit Probl.Jumps nicht sicher trennbar.</t>
  </si>
  <si>
    <t xml:space="preserve">B11</t>
  </si>
  <si>
    <t xml:space="preserve">FL_Abb14_unexploited_opportunities_1.0</t>
  </si>
  <si>
    <t xml:space="preserve">105</t>
  </si>
  <si>
    <t xml:space="preserve">FL_Abb14_unexploited_opportunities_1.5</t>
  </si>
  <si>
    <t xml:space="preserve">137</t>
  </si>
  <si>
    <t xml:space="preserve">D11</t>
  </si>
  <si>
    <t xml:space="preserve">FL_Abb14_unexploited_opportunities_2.0</t>
  </si>
  <si>
    <t xml:space="preserve">E11</t>
  </si>
  <si>
    <t xml:space="preserve">FL_Abb14_unexploited_opportunities_2.5</t>
  </si>
  <si>
    <t xml:space="preserve">138</t>
  </si>
  <si>
    <t xml:space="preserve">F11</t>
  </si>
  <si>
    <t xml:space="preserve">FL_Abb14_problem_jumps_0.5</t>
  </si>
  <si>
    <t xml:space="preserve">Indexwert Probl.Jumps (Schwierigkeit 0,5 = 100)</t>
  </si>
  <si>
    <t xml:space="preserve">index_problem_jumps</t>
  </si>
  <si>
    <t xml:space="preserve">Zuverlässigkeit niedrig. Im Bündel; mit Unexploited Opp. nicht sicher trennbar.</t>
  </si>
  <si>
    <t xml:space="preserve">B12</t>
  </si>
  <si>
    <t xml:space="preserve">FL_Abb14_problem_jumps_1.0</t>
  </si>
  <si>
    <t xml:space="preserve">97</t>
  </si>
  <si>
    <t xml:space="preserve">FL_Abb14_problem_jumps_1.5</t>
  </si>
  <si>
    <t xml:space="preserve">D12</t>
  </si>
  <si>
    <t xml:space="preserve">FL_Abb14_problem_jumps_2.0</t>
  </si>
  <si>
    <t xml:space="preserve">E12</t>
  </si>
  <si>
    <t xml:space="preserve">FL_Abb14_problem_jumps_2.5</t>
  </si>
  <si>
    <t xml:space="preserve">143</t>
  </si>
  <si>
    <t xml:space="preserve">F12</t>
  </si>
  <si>
    <t xml:space="preserve">FL_Abb14_waiting_time_0.5</t>
  </si>
  <si>
    <t xml:space="preserve">Indexwert Waiting Time (Schwierigkeit 0,5 = 100)</t>
  </si>
  <si>
    <t xml:space="preserve">index_waiting_time</t>
  </si>
  <si>
    <t xml:space="preserve">Zuverlässigkeit niedrig. Im Bündel; stimmt mit Abb. 15 bis 17 (N/N) überein, siehe Pruefungen.</t>
  </si>
  <si>
    <t xml:space="preserve">B13</t>
  </si>
  <si>
    <t xml:space="preserve">FL_Abb14_waiting_time_1.0</t>
  </si>
  <si>
    <t xml:space="preserve">C13</t>
  </si>
  <si>
    <t xml:space="preserve">FL_Abb14_waiting_time_1.5</t>
  </si>
  <si>
    <t xml:space="preserve">D13</t>
  </si>
  <si>
    <t xml:space="preserve">FL_Abb14_waiting_time_2.0</t>
  </si>
  <si>
    <t xml:space="preserve">112</t>
  </si>
  <si>
    <t xml:space="preserve">E13</t>
  </si>
  <si>
    <t xml:space="preserve">FL_Abb14_waiting_time_2.5</t>
  </si>
  <si>
    <t xml:space="preserve">115</t>
  </si>
  <si>
    <t xml:space="preserve">F13</t>
  </si>
  <si>
    <t xml:space="preserve">FL_Abb14_unsolved_problems_0.5</t>
  </si>
  <si>
    <t xml:space="preserve">Indexwert Unsolv.Problems (Schwierigkeit 0,5 = 100)</t>
  </si>
  <si>
    <t xml:space="preserve">index_unsolved_problems</t>
  </si>
  <si>
    <t xml:space="preserve">Zuverlässigkeit niedrig. Im Bündel; vergleiche Abb. 15 bis 17 (N/N).</t>
  </si>
  <si>
    <t xml:space="preserve">B14</t>
  </si>
  <si>
    <t xml:space="preserve">FL_Abb14_unsolved_problems_1.0</t>
  </si>
  <si>
    <t xml:space="preserve">C14</t>
  </si>
  <si>
    <t xml:space="preserve">FL_Abb14_unsolved_problems_1.5</t>
  </si>
  <si>
    <t xml:space="preserve">104</t>
  </si>
  <si>
    <t xml:space="preserve">D14</t>
  </si>
  <si>
    <t xml:space="preserve">FL_Abb14_unsolved_problems_2.0</t>
  </si>
  <si>
    <t xml:space="preserve">E14</t>
  </si>
  <si>
    <t xml:space="preserve">FL_Abb14_unsolved_problems_2.5</t>
  </si>
  <si>
    <t xml:space="preserve">F14</t>
  </si>
  <si>
    <t xml:space="preserve">FL_Abb14_used_energy_per_decision_0.5</t>
  </si>
  <si>
    <t xml:space="preserve">Indexwert UsedEn./Tot.Dec. (Schwierigkeit 0,5 = 100)</t>
  </si>
  <si>
    <t xml:space="preserve">index_used_energy_per_decision</t>
  </si>
  <si>
    <t xml:space="preserve">Zuverlässigkeit niedrig. Im Bündel, teils verdeckt.</t>
  </si>
  <si>
    <t xml:space="preserve">B15</t>
  </si>
  <si>
    <t xml:space="preserve">FL_Abb14_used_energy_per_decision_1.0</t>
  </si>
  <si>
    <t xml:space="preserve">C15</t>
  </si>
  <si>
    <t xml:space="preserve">FL_Abb14_used_energy_per_decision_1.5</t>
  </si>
  <si>
    <t xml:space="preserve">102</t>
  </si>
  <si>
    <t xml:space="preserve">D15</t>
  </si>
  <si>
    <t xml:space="preserve">FL_Abb14_used_energy_per_decision_2.0</t>
  </si>
  <si>
    <t xml:space="preserve">E15</t>
  </si>
  <si>
    <t xml:space="preserve">FL_Abb14_used_energy_per_decision_2.5</t>
  </si>
  <si>
    <t xml:space="preserve">F15</t>
  </si>
  <si>
    <t xml:space="preserve">FL_Abb15_problem_latency_NN</t>
  </si>
  <si>
    <t xml:space="preserve">Abb. 15, Abs. 6.19 bis 6.21</t>
  </si>
  <si>
    <t xml:space="preserve">problem_latency</t>
  </si>
  <si>
    <t xml:space="preserve">Schritte (Summe über Probleme)</t>
  </si>
  <si>
    <t xml:space="preserve">57500</t>
  </si>
  <si>
    <t xml:space="preserve">Basiswerte mit 400 Problemen.</t>
  </si>
  <si>
    <t xml:space="preserve">FL_Abb15_17</t>
  </si>
  <si>
    <t xml:space="preserve">FL_Abb16_problem_latency_NN</t>
  </si>
  <si>
    <t xml:space="preserve">Abb. 16, Abs. 6.19 bis 6.21</t>
  </si>
  <si>
    <t xml:space="preserve">49700</t>
  </si>
  <si>
    <t xml:space="preserve">FL_Abb17_problem_latency_NN</t>
  </si>
  <si>
    <t xml:space="preserve">Abb. 17, Abs. 6.19 bis 6.21</t>
  </si>
  <si>
    <t xml:space="preserve">48400</t>
  </si>
  <si>
    <t xml:space="preserve">FL_Abb15_problem_latency_NH</t>
  </si>
  <si>
    <t xml:space="preserve">59900</t>
  </si>
  <si>
    <t xml:space="preserve">FL_Abb16_problem_latency_NH</t>
  </si>
  <si>
    <t xml:space="preserve">60000</t>
  </si>
  <si>
    <t xml:space="preserve">FL_Abb17_problem_latency_NH</t>
  </si>
  <si>
    <t xml:space="preserve">60200</t>
  </si>
  <si>
    <t xml:space="preserve">FL_Abb15_problem_latency_NS</t>
  </si>
  <si>
    <t xml:space="preserve">60100</t>
  </si>
  <si>
    <t xml:space="preserve">FL_Abb16_problem_latency_NS</t>
  </si>
  <si>
    <t xml:space="preserve">FL_Abb17_problem_latency_NS</t>
  </si>
  <si>
    <t xml:space="preserve">60400</t>
  </si>
  <si>
    <t xml:space="preserve">FL_Abb15_problem_latency_HN</t>
  </si>
  <si>
    <t xml:space="preserve">57600</t>
  </si>
  <si>
    <t xml:space="preserve">FL_Abb16_problem_latency_HN</t>
  </si>
  <si>
    <t xml:space="preserve">48700</t>
  </si>
  <si>
    <t xml:space="preserve">FL_Abb17_problem_latency_HN</t>
  </si>
  <si>
    <t xml:space="preserve">48100</t>
  </si>
  <si>
    <t xml:space="preserve">FL_Abb15_problem_latency_HH</t>
  </si>
  <si>
    <t xml:space="preserve">FL_Abb16_problem_latency_HH</t>
  </si>
  <si>
    <t xml:space="preserve">FL_Abb17_problem_latency_HH</t>
  </si>
  <si>
    <t xml:space="preserve">FL_Abb15_problem_latency_HS</t>
  </si>
  <si>
    <t xml:space="preserve">FL_Abb16_problem_latency_HS</t>
  </si>
  <si>
    <t xml:space="preserve">FL_Abb17_problem_latency_HS</t>
  </si>
  <si>
    <t xml:space="preserve">FL_Abb15_problem_latency_SN</t>
  </si>
  <si>
    <t xml:space="preserve">FL_Abb16_problem_latency_SN</t>
  </si>
  <si>
    <t xml:space="preserve">59600</t>
  </si>
  <si>
    <t xml:space="preserve">FL_Abb17_problem_latency_SN</t>
  </si>
  <si>
    <t xml:space="preserve">FL_Abb15_problem_latency_SH</t>
  </si>
  <si>
    <t xml:space="preserve">FL_Abb16_problem_latency_SH</t>
  </si>
  <si>
    <t xml:space="preserve">FL_Abb17_problem_latency_SH</t>
  </si>
  <si>
    <t xml:space="preserve">FL_Abb15_problem_latency_SS</t>
  </si>
  <si>
    <t xml:space="preserve">FL_Abb16_problem_latency_SS</t>
  </si>
  <si>
    <t xml:space="preserve">FL_Abb17_problem_latency_SS</t>
  </si>
  <si>
    <t xml:space="preserve">FL_Abb15_unsolved_problems_NN</t>
  </si>
  <si>
    <t xml:space="preserve">unsolved_problems</t>
  </si>
  <si>
    <t xml:space="preserve">368</t>
  </si>
  <si>
    <t xml:space="preserve">FL_Abb16_unsolved_problems_NN</t>
  </si>
  <si>
    <t xml:space="preserve">390</t>
  </si>
  <si>
    <t xml:space="preserve">FL_Abb17_unsolved_problems_NN</t>
  </si>
  <si>
    <t xml:space="preserve">398</t>
  </si>
  <si>
    <t xml:space="preserve">FL_Abb15_unsolved_problems_NH</t>
  </si>
  <si>
    <t xml:space="preserve">FL_Abb16_unsolved_problems_NH</t>
  </si>
  <si>
    <t xml:space="preserve">399</t>
  </si>
  <si>
    <t xml:space="preserve">FL_Abb17_unsolved_problems_NH</t>
  </si>
  <si>
    <t xml:space="preserve">400</t>
  </si>
  <si>
    <t xml:space="preserve">FL_Abb15_unsolved_problems_NS</t>
  </si>
  <si>
    <t xml:space="preserve">D16</t>
  </si>
  <si>
    <t xml:space="preserve">FL_Abb16_unsolved_problems_NS</t>
  </si>
  <si>
    <t xml:space="preserve">E16</t>
  </si>
  <si>
    <t xml:space="preserve">FL_Abb17_unsolved_problems_NS</t>
  </si>
  <si>
    <t xml:space="preserve">F16</t>
  </si>
  <si>
    <t xml:space="preserve">FL_Abb15_unsolved_problems_HN</t>
  </si>
  <si>
    <t xml:space="preserve">374</t>
  </si>
  <si>
    <t xml:space="preserve">D17</t>
  </si>
  <si>
    <t xml:space="preserve">FL_Abb16_unsolved_problems_HN</t>
  </si>
  <si>
    <t xml:space="preserve">397</t>
  </si>
  <si>
    <t xml:space="preserve">E17</t>
  </si>
  <si>
    <t xml:space="preserve">FL_Abb17_unsolved_problems_HN</t>
  </si>
  <si>
    <t xml:space="preserve">F17</t>
  </si>
  <si>
    <t xml:space="preserve">FL_Abb15_unsolved_problems_HH</t>
  </si>
  <si>
    <t xml:space="preserve">D18</t>
  </si>
  <si>
    <t xml:space="preserve">FL_Abb16_unsolved_problems_HH</t>
  </si>
  <si>
    <t xml:space="preserve">E18</t>
  </si>
  <si>
    <t xml:space="preserve">FL_Abb17_unsolved_problems_HH</t>
  </si>
  <si>
    <t xml:space="preserve">F18</t>
  </si>
  <si>
    <t xml:space="preserve">FL_Abb15_unsolved_problems_HS</t>
  </si>
  <si>
    <t xml:space="preserve">D19</t>
  </si>
  <si>
    <t xml:space="preserve">FL_Abb16_unsolved_problems_HS</t>
  </si>
  <si>
    <t xml:space="preserve">E19</t>
  </si>
  <si>
    <t xml:space="preserve">FL_Abb17_unsolved_problems_HS</t>
  </si>
  <si>
    <t xml:space="preserve">F19</t>
  </si>
  <si>
    <t xml:space="preserve">FL_Abb15_unsolved_problems_SN</t>
  </si>
  <si>
    <t xml:space="preserve">D20</t>
  </si>
  <si>
    <t xml:space="preserve">FL_Abb16_unsolved_problems_SN</t>
  </si>
  <si>
    <t xml:space="preserve">E20</t>
  </si>
  <si>
    <t xml:space="preserve">FL_Abb17_unsolved_problems_SN</t>
  </si>
  <si>
    <t xml:space="preserve">F20</t>
  </si>
  <si>
    <t xml:space="preserve">FL_Abb15_unsolved_problems_SH</t>
  </si>
  <si>
    <t xml:space="preserve">D21</t>
  </si>
  <si>
    <t xml:space="preserve">FL_Abb16_unsolved_problems_SH</t>
  </si>
  <si>
    <t xml:space="preserve">E21</t>
  </si>
  <si>
    <t xml:space="preserve">FL_Abb17_unsolved_problems_SH</t>
  </si>
  <si>
    <t xml:space="preserve">F21</t>
  </si>
  <si>
    <t xml:space="preserve">FL_Abb15_unsolved_problems_SS</t>
  </si>
  <si>
    <t xml:space="preserve">D22</t>
  </si>
  <si>
    <t xml:space="preserve">FL_Abb16_unsolved_problems_SS</t>
  </si>
  <si>
    <t xml:space="preserve">E22</t>
  </si>
  <si>
    <t xml:space="preserve">FL_Abb17_unsolved_problems_SS</t>
  </si>
  <si>
    <t xml:space="preserve">F22</t>
  </si>
  <si>
    <t xml:space="preserve">FL_Abb15_waiting_time_NN</t>
  </si>
  <si>
    <t xml:space="preserve">waiting_time</t>
  </si>
  <si>
    <t xml:space="preserve">Schritte (Summe über Gelegenheiten)</t>
  </si>
  <si>
    <t xml:space="preserve">19800</t>
  </si>
  <si>
    <t xml:space="preserve">D23</t>
  </si>
  <si>
    <t xml:space="preserve">FL_Abb16_waiting_time_NN</t>
  </si>
  <si>
    <t xml:space="preserve">21900</t>
  </si>
  <si>
    <t xml:space="preserve">E23</t>
  </si>
  <si>
    <t xml:space="preserve">FL_Abb17_waiting_time_NN</t>
  </si>
  <si>
    <t xml:space="preserve">22400</t>
  </si>
  <si>
    <t xml:space="preserve">F23</t>
  </si>
  <si>
    <t xml:space="preserve">FL_Abb15_waiting_time_NH</t>
  </si>
  <si>
    <t xml:space="preserve">19600</t>
  </si>
  <si>
    <t xml:space="preserve">D24</t>
  </si>
  <si>
    <t xml:space="preserve">FL_Abb16_waiting_time_NH</t>
  </si>
  <si>
    <t xml:space="preserve">E24</t>
  </si>
  <si>
    <t xml:space="preserve">FL_Abb17_waiting_time_NH</t>
  </si>
  <si>
    <t xml:space="preserve">F24</t>
  </si>
  <si>
    <t xml:space="preserve">FL_Abb15_waiting_time_NS</t>
  </si>
  <si>
    <t xml:space="preserve">D25</t>
  </si>
  <si>
    <t xml:space="preserve">FL_Abb16_waiting_time_NS</t>
  </si>
  <si>
    <t xml:space="preserve">Schritte (Summe)</t>
  </si>
  <si>
    <t xml:space="preserve">verdeckt; aus der Geometrie höchstens etwa 20.500</t>
  </si>
  <si>
    <t xml:space="preserve">digitalisiert (nicht ablesbar)</t>
  </si>
  <si>
    <t xml:space="preserve">Säule im Diagramm verdeckt.</t>
  </si>
  <si>
    <t xml:space="preserve">E25</t>
  </si>
  <si>
    <t xml:space="preserve">FL_Abb17_waiting_time_NS</t>
  </si>
  <si>
    <t xml:space="preserve">verdeckt; aus der Geometrie höchstens etwa 20.700</t>
  </si>
  <si>
    <t xml:space="preserve">F25</t>
  </si>
  <si>
    <t xml:space="preserve">FL_Abb15_waiting_time_HN</t>
  </si>
  <si>
    <t xml:space="preserve">20700</t>
  </si>
  <si>
    <t xml:space="preserve">D26</t>
  </si>
  <si>
    <t xml:space="preserve">FL_Abb16_waiting_time_HN</t>
  </si>
  <si>
    <t xml:space="preserve">23000</t>
  </si>
  <si>
    <t xml:space="preserve">E26</t>
  </si>
  <si>
    <t xml:space="preserve">FL_Abb17_waiting_time_HN</t>
  </si>
  <si>
    <t xml:space="preserve">23100</t>
  </si>
  <si>
    <t xml:space="preserve">F26</t>
  </si>
  <si>
    <t xml:space="preserve">FL_Abb15_waiting_time_HH</t>
  </si>
  <si>
    <t xml:space="preserve">21600</t>
  </si>
  <si>
    <t xml:space="preserve">D27</t>
  </si>
  <si>
    <t xml:space="preserve">FL_Abb16_waiting_time_HH</t>
  </si>
  <si>
    <t xml:space="preserve">21800</t>
  </si>
  <si>
    <t xml:space="preserve">E27</t>
  </si>
  <si>
    <t xml:space="preserve">FL_Abb17_waiting_time_HH</t>
  </si>
  <si>
    <t xml:space="preserve">F27</t>
  </si>
  <si>
    <t xml:space="preserve">FL_Abb15_waiting_time_HS</t>
  </si>
  <si>
    <t xml:space="preserve">22100</t>
  </si>
  <si>
    <t xml:space="preserve">+/- 300 (2 Prozent der Achse); teilweise verdeckt</t>
  </si>
  <si>
    <t xml:space="preserve">D28</t>
  </si>
  <si>
    <t xml:space="preserve">FL_Abb16_waiting_time_HS</t>
  </si>
  <si>
    <t xml:space="preserve">22200</t>
  </si>
  <si>
    <t xml:space="preserve">E28</t>
  </si>
  <si>
    <t xml:space="preserve">FL_Abb17_waiting_time_HS</t>
  </si>
  <si>
    <t xml:space="preserve">F28</t>
  </si>
  <si>
    <t xml:space="preserve">FL_Abb15_waiting_time_SN</t>
  </si>
  <si>
    <t xml:space="preserve">29700</t>
  </si>
  <si>
    <t xml:space="preserve">D29</t>
  </si>
  <si>
    <t xml:space="preserve">FL_Abb16_waiting_time_SN</t>
  </si>
  <si>
    <t xml:space="preserve">29800</t>
  </si>
  <si>
    <t xml:space="preserve">E29</t>
  </si>
  <si>
    <t xml:space="preserve">FL_Abb17_waiting_time_SN</t>
  </si>
  <si>
    <t xml:space="preserve">F29</t>
  </si>
  <si>
    <t xml:space="preserve">FL_Abb15_waiting_time_SH</t>
  </si>
  <si>
    <t xml:space="preserve">D30</t>
  </si>
  <si>
    <t xml:space="preserve">FL_Abb16_waiting_time_SH</t>
  </si>
  <si>
    <t xml:space="preserve">29900</t>
  </si>
  <si>
    <t xml:space="preserve">E30</t>
  </si>
  <si>
    <t xml:space="preserve">FL_Abb17_waiting_time_SH</t>
  </si>
  <si>
    <t xml:space="preserve">F30</t>
  </si>
  <si>
    <t xml:space="preserve">FL_Abb15_waiting_time_SS</t>
  </si>
  <si>
    <t xml:space="preserve">D31</t>
  </si>
  <si>
    <t xml:space="preserve">FL_Abb16_waiting_time_SS</t>
  </si>
  <si>
    <t xml:space="preserve">30000</t>
  </si>
  <si>
    <t xml:space="preserve">E31</t>
  </si>
  <si>
    <t xml:space="preserve">FL_Abb17_waiting_time_SS</t>
  </si>
  <si>
    <t xml:space="preserve">F31</t>
  </si>
  <si>
    <t xml:space="preserve">FL_Abb19_NH_100_wichtig</t>
  </si>
  <si>
    <t xml:space="preserve">Abb. 19, Abs. 6.38 bis 6.42</t>
  </si>
  <si>
    <t xml:space="preserve">Resolutionen auf Gelegenheiten der Wichtigkeitshälfte, Prozent aller Entscheidungen</t>
  </si>
  <si>
    <t xml:space="preserve">resolutionen_wichtigkeitshaelfte_pct</t>
  </si>
  <si>
    <t xml:space="preserve">wichtigste 50 Prozent</t>
  </si>
  <si>
    <t xml:space="preserve">0.67</t>
  </si>
  <si>
    <t xml:space="preserve">+/- 5 Prozent relativ (1 Pixel = 2,7 Prozent)</t>
  </si>
  <si>
    <t xml:space="preserve">Bezug vermutlich Summe der Quartile %R-I und %R-II bzw. %R-III und %R-IV (Abs. 5.5, 6.39).</t>
  </si>
  <si>
    <t xml:space="preserve">FL_Abb19</t>
  </si>
  <si>
    <t xml:space="preserve">FL_Abb19_NH_100_unwichtig</t>
  </si>
  <si>
    <t xml:space="preserve">unwichtigste 50 Prozent</t>
  </si>
  <si>
    <t xml:space="preserve">1.09</t>
  </si>
  <si>
    <t xml:space="preserve">FL_Abb19_NH_200_wichtig</t>
  </si>
  <si>
    <t xml:space="preserve">0.66</t>
  </si>
  <si>
    <t xml:space="preserve">FL_Abb19_NH_200_unwichtig</t>
  </si>
  <si>
    <t xml:space="preserve">1.29</t>
  </si>
  <si>
    <t xml:space="preserve">FL_Abb19_NH_400_wichtig</t>
  </si>
  <si>
    <t xml:space="preserve">0.57</t>
  </si>
  <si>
    <t xml:space="preserve">FL_Abb19_NH_400_unwichtig</t>
  </si>
  <si>
    <t xml:space="preserve">1.12</t>
  </si>
  <si>
    <t xml:space="preserve">FL_Abb19_NH_800_wichtig</t>
  </si>
  <si>
    <t xml:space="preserve">800</t>
  </si>
  <si>
    <t xml:space="preserve">FL_Abb19_NH_800_unwichtig</t>
  </si>
  <si>
    <t xml:space="preserve">1.01</t>
  </si>
  <si>
    <t xml:space="preserve">FL_Abb19_HN_100_wichtig</t>
  </si>
  <si>
    <t xml:space="preserve">9.8</t>
  </si>
  <si>
    <t xml:space="preserve">FL_Abb19_HN_100_unwichtig</t>
  </si>
  <si>
    <t xml:space="preserve">FL_Abb19_HN_200_wichtig</t>
  </si>
  <si>
    <t xml:space="preserve">9.0</t>
  </si>
  <si>
    <t xml:space="preserve">FL_Abb19_HN_200_unwichtig</t>
  </si>
  <si>
    <t xml:space="preserve">11.2</t>
  </si>
  <si>
    <t xml:space="preserve">FL_Abb19_HN_400_wichtig</t>
  </si>
  <si>
    <t xml:space="preserve">8.8</t>
  </si>
  <si>
    <t xml:space="preserve">FL_Abb19_HN_400_unwichtig</t>
  </si>
  <si>
    <t xml:space="preserve">10.6</t>
  </si>
  <si>
    <t xml:space="preserve">FL_Abb19_HN_800_wichtig</t>
  </si>
  <si>
    <t xml:space="preserve">FL_Abb19_HN_800_unwichtig</t>
  </si>
  <si>
    <t xml:space="preserve">FL_Abb19_HH_100_wichtig</t>
  </si>
  <si>
    <t xml:space="preserve">0.49</t>
  </si>
  <si>
    <t xml:space="preserve">FL_Abb19_HH_100_unwichtig</t>
  </si>
  <si>
    <t xml:space="preserve">1.78</t>
  </si>
  <si>
    <t xml:space="preserve">FL_Abb19_HH_200_wichtig</t>
  </si>
  <si>
    <t xml:space="preserve">FL_Abb19_HH_200_unwichtig</t>
  </si>
  <si>
    <t xml:space="preserve">1.22</t>
  </si>
  <si>
    <t xml:space="preserve">FL_Abb19_HH_400_wichtig</t>
  </si>
  <si>
    <t xml:space="preserve">0.34</t>
  </si>
  <si>
    <t xml:space="preserve">FL_Abb19_HH_400_unwichtig</t>
  </si>
  <si>
    <t xml:space="preserve">1.04</t>
  </si>
  <si>
    <t xml:space="preserve">FL_Abb19_HH_800_wichtig</t>
  </si>
  <si>
    <t xml:space="preserve">0.22</t>
  </si>
  <si>
    <t xml:space="preserve">FL_Abb19_HH_800_unwichtig</t>
  </si>
  <si>
    <t xml:space="preserve">1.19</t>
  </si>
</sst>
</file>

<file path=xl/styles.xml><?xml version="1.0" encoding="utf-8"?>
<styleSheet xmlns="http://schemas.openxmlformats.org/spreadsheetml/2006/main">
  <numFmts count="8">
    <numFmt numFmtId="164" formatCode="General"/>
    <numFmt numFmtId="165" formatCode="General"/>
    <numFmt numFmtId="166" formatCode="0.00"/>
    <numFmt numFmtId="167" formatCode="0.000"/>
    <numFmt numFmtId="168" formatCode="0.0"/>
    <numFmt numFmtId="169" formatCode="0"/>
    <numFmt numFmtId="170" formatCode="#,##0"/>
    <numFmt numFmtId="171" formatCode="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b val="true"/>
      <sz val="11"/>
      <name val="Arial"/>
      <family val="0"/>
      <charset val="1"/>
    </font>
    <font>
      <b val="true"/>
      <sz val="10"/>
      <name val="Arial"/>
      <family val="0"/>
      <charset val="1"/>
    </font>
    <font>
      <sz val="10"/>
      <name val="Arial"/>
      <family val="0"/>
      <charset val="1"/>
    </font>
    <font>
      <sz val="10"/>
      <color rgb="FF0000FF"/>
      <name val="Arial"/>
      <family val="0"/>
      <charset val="1"/>
    </font>
    <font>
      <sz val="10"/>
      <name val="Arial"/>
      <family val="2"/>
    </font>
    <font>
      <sz val="10"/>
      <color rgb="FF008000"/>
      <name val="Arial"/>
      <family val="0"/>
      <charset val="1"/>
    </font>
  </fonts>
  <fills count="6">
    <fill>
      <patternFill patternType="none"/>
    </fill>
    <fill>
      <patternFill patternType="gray125"/>
    </fill>
    <fill>
      <patternFill patternType="solid">
        <fgColor rgb="FFD9E1F2"/>
        <bgColor rgb="FFE2EFDA"/>
      </patternFill>
    </fill>
    <fill>
      <patternFill patternType="solid">
        <fgColor rgb="FFFCE4D6"/>
        <bgColor rgb="FFE2EFDA"/>
      </patternFill>
    </fill>
    <fill>
      <patternFill patternType="solid">
        <fgColor rgb="FFE2EFDA"/>
        <bgColor rgb="FFD9E1F2"/>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5" fontId="8" fillId="4"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7" fontId="8" fillId="4" borderId="1" xfId="0" applyFont="true" applyBorder="true" applyAlignment="true" applyProtection="false">
      <alignment horizontal="general" vertical="top" textRotation="0" wrapText="true" indent="0" shrinkToFit="false"/>
      <protection locked="true" hidden="false"/>
    </xf>
    <xf numFmtId="166" fontId="8" fillId="4" borderId="1" xfId="0" applyFont="true" applyBorder="true" applyAlignment="true" applyProtection="false">
      <alignment horizontal="general" vertical="top" textRotation="0" wrapText="true" indent="0" shrinkToFit="false"/>
      <protection locked="true" hidden="false"/>
    </xf>
    <xf numFmtId="168" fontId="9" fillId="0" borderId="1" xfId="0" applyFont="true" applyBorder="true" applyAlignment="true" applyProtection="false">
      <alignment horizontal="general" vertical="top" textRotation="0" wrapText="true" indent="0" shrinkToFit="false"/>
      <protection locked="true" hidden="false"/>
    </xf>
    <xf numFmtId="166" fontId="11" fillId="4" borderId="1" xfId="0" applyFont="true" applyBorder="true" applyAlignment="true" applyProtection="false">
      <alignment horizontal="general" vertical="top" textRotation="0" wrapText="true" indent="0" shrinkToFit="false"/>
      <protection locked="true" hidden="false"/>
    </xf>
    <xf numFmtId="165" fontId="11"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9" fontId="9" fillId="0" borderId="1" xfId="0" applyFont="true" applyBorder="true" applyAlignment="true" applyProtection="false">
      <alignment horizontal="general" vertical="top" textRotation="0" wrapText="true" indent="0" shrinkToFit="false"/>
      <protection locked="true" hidden="false"/>
    </xf>
    <xf numFmtId="169" fontId="11" fillId="0" borderId="1" xfId="0" applyFont="true" applyBorder="true" applyAlignment="true" applyProtection="false">
      <alignment horizontal="general" vertical="top" textRotation="0" wrapText="true" indent="0" shrinkToFit="false"/>
      <protection locked="true" hidden="false"/>
    </xf>
    <xf numFmtId="166" fontId="11" fillId="0" borderId="1" xfId="0" applyFont="true" applyBorder="true" applyAlignment="true" applyProtection="false">
      <alignment horizontal="general" vertical="top" textRotation="0" wrapText="true" indent="0" shrinkToFit="false"/>
      <protection locked="true" hidden="false"/>
    </xf>
    <xf numFmtId="167" fontId="11"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8" fontId="9" fillId="3" borderId="1" xfId="0" applyFont="true" applyBorder="true" applyAlignment="true" applyProtection="false">
      <alignment horizontal="general" vertical="top" textRotation="0" wrapText="true" indent="0" shrinkToFit="false"/>
      <protection locked="true" hidden="false"/>
    </xf>
    <xf numFmtId="170" fontId="9" fillId="0" borderId="1" xfId="0" applyFont="true" applyBorder="true" applyAlignment="true" applyProtection="false">
      <alignment horizontal="general" vertical="top" textRotation="0" wrapText="true" indent="0" shrinkToFit="false"/>
      <protection locked="true" hidden="false"/>
    </xf>
    <xf numFmtId="170" fontId="9"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70" fontId="8" fillId="4" borderId="1" xfId="0" applyFont="true" applyBorder="true" applyAlignment="true" applyProtection="false">
      <alignment horizontal="general" vertical="top" textRotation="0" wrapText="true" indent="0" shrinkToFit="false"/>
      <protection locked="true" hidden="false"/>
    </xf>
    <xf numFmtId="166" fontId="9" fillId="3" borderId="1" xfId="0" applyFont="true" applyBorder="true" applyAlignment="true" applyProtection="false">
      <alignment horizontal="general" vertical="top" textRotation="0" wrapText="true" indent="0" shrinkToFit="false"/>
      <protection locked="true" hidden="false"/>
    </xf>
    <xf numFmtId="167" fontId="11" fillId="4"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xf numFmtId="169" fontId="11" fillId="4" borderId="1" xfId="0" applyFont="true" applyBorder="true" applyAlignment="true" applyProtection="false">
      <alignment horizontal="general" vertical="top" textRotation="0" wrapText="true" indent="0" shrinkToFit="false"/>
      <protection locked="true" hidden="false"/>
    </xf>
    <xf numFmtId="168" fontId="11" fillId="4" borderId="1" xfId="0" applyFont="true" applyBorder="true" applyAlignment="true" applyProtection="false">
      <alignment horizontal="general" vertical="top" textRotation="0" wrapText="true" indent="0" shrinkToFit="false"/>
      <protection locked="true" hidden="false"/>
    </xf>
    <xf numFmtId="167" fontId="9" fillId="5" borderId="1" xfId="0" applyFont="true" applyBorder="true" applyAlignment="true" applyProtection="false">
      <alignment horizontal="general" vertical="top" textRotation="0" wrapText="true" indent="0" shrinkToFit="false"/>
      <protection locked="true" hidden="false"/>
    </xf>
    <xf numFmtId="169" fontId="8" fillId="4" borderId="1" xfId="0" applyFont="true" applyBorder="true" applyAlignment="true" applyProtection="false">
      <alignment horizontal="general" vertical="top" textRotation="0" wrapText="true" indent="0" shrinkToFit="false"/>
      <protection locked="true" hidden="false"/>
    </xf>
    <xf numFmtId="171" fontId="9" fillId="5" borderId="1" xfId="0" applyFont="true" applyBorder="true" applyAlignment="true" applyProtection="false">
      <alignment horizontal="general" vertical="top" textRotation="0" wrapText="true" indent="0" shrinkToFit="false"/>
      <protection locked="true" hidden="false"/>
    </xf>
    <xf numFmtId="168" fontId="9" fillId="5" borderId="1" xfId="0" applyFont="true" applyBorder="true" applyAlignment="true" applyProtection="false">
      <alignment horizontal="general" vertical="top" textRotation="0" wrapText="true" indent="0" shrinkToFit="false"/>
      <protection locked="true" hidden="false"/>
    </xf>
    <xf numFmtId="166" fontId="9" fillId="5" borderId="1" xfId="0" applyFont="true" applyBorder="true" applyAlignment="true" applyProtection="false">
      <alignment horizontal="general" vertical="top" textRotation="0" wrapText="true" indent="0" shrinkToFit="false"/>
      <protection locked="true" hidden="false"/>
    </xf>
    <xf numFmtId="168" fontId="11"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6" fontId="11" fillId="0" borderId="1" xfId="0" applyFont="true" applyBorder="true" applyAlignment="true" applyProtection="false">
      <alignment horizontal="general" vertical="top" textRotation="0" wrapText="false" indent="0" shrinkToFit="false"/>
      <protection locked="true" hidden="false"/>
    </xf>
    <xf numFmtId="168" fontId="11" fillId="0" borderId="1" xfId="0" applyFont="true" applyBorder="true" applyAlignment="true" applyProtection="false">
      <alignment horizontal="general" vertical="top" textRotation="0" wrapText="false" indent="0" shrinkToFit="false"/>
      <protection locked="true" hidden="false"/>
    </xf>
    <xf numFmtId="169" fontId="11" fillId="0" borderId="1" xfId="0" applyFont="true" applyBorder="true" applyAlignment="true" applyProtection="false">
      <alignment horizontal="general" vertical="top" textRotation="0" wrapText="false" indent="0" shrinkToFit="false"/>
      <protection locked="true" hidden="false"/>
    </xf>
    <xf numFmtId="170" fontId="11"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D9E1F2"/>
          <bgColor rgb="FF000000"/>
        </patternFill>
      </fill>
    </dxf>
    <dxf>
      <fill>
        <patternFill patternType="solid">
          <bgColor rgb="FF000000"/>
        </patternFill>
      </fill>
    </dxf>
    <dxf>
      <fill>
        <patternFill patternType="solid">
          <fgColor rgb="FF008000"/>
          <bgColor rgb="FF000000"/>
        </patternFill>
      </fill>
    </dxf>
    <dxf>
      <fill>
        <patternFill patternType="solid">
          <fgColor rgb="FF0000FF"/>
          <bgColor rgb="FF000000"/>
        </patternFill>
      </fill>
    </dxf>
    <dxf>
      <fill>
        <patternFill patternType="solid">
          <fgColor rgb="FFE2EFDA"/>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6.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7.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1.xml"/><Relationship Id="rId3" Type="http://schemas.openxmlformats.org/officeDocument/2006/relationships/vmlDrawing" Target="../drawings/vmlDrawing8.vml"/>
</Relationships>
</file>

<file path=xl/worksheets/_rels/sheet21.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5"/>
    <col collapsed="false" customWidth="true" hidden="false" outlineLevel="0" max="3" min="3" style="0" width="4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row>
    <row r="6" customFormat="false" ht="23.85" hidden="false" customHeight="false" outlineLevel="0" collapsed="false">
      <c r="A6" s="5" t="s">
        <v>6</v>
      </c>
      <c r="B6" s="6" t="s">
        <v>7</v>
      </c>
      <c r="C6" s="6" t="s">
        <v>8</v>
      </c>
    </row>
    <row r="7" customFormat="false" ht="35.05" hidden="false" customHeight="false" outlineLevel="0" collapsed="false">
      <c r="A7" s="5" t="s">
        <v>9</v>
      </c>
      <c r="B7" s="6" t="s">
        <v>10</v>
      </c>
      <c r="C7" s="6" t="s">
        <v>11</v>
      </c>
    </row>
    <row r="8" customFormat="false" ht="35.05" hidden="false" customHeight="false" outlineLevel="0" collapsed="false">
      <c r="A8" s="5" t="s">
        <v>12</v>
      </c>
      <c r="B8" s="6" t="s">
        <v>13</v>
      </c>
      <c r="C8" s="6" t="s">
        <v>14</v>
      </c>
    </row>
    <row r="10" customFormat="false" ht="15" hidden="false" customHeight="false" outlineLevel="0" collapsed="false">
      <c r="A10" s="3" t="s">
        <v>15</v>
      </c>
    </row>
    <row r="11" customFormat="false" ht="23.85" hidden="false" customHeight="false" outlineLevel="0" collapsed="false">
      <c r="B11" s="6" t="s">
        <v>16</v>
      </c>
    </row>
    <row r="13" customFormat="false" ht="15" hidden="false" customHeight="false" outlineLevel="0" collapsed="false">
      <c r="A13" s="3" t="s">
        <v>17</v>
      </c>
    </row>
    <row r="14" customFormat="false" ht="15" hidden="false" customHeight="false" outlineLevel="0" collapsed="false">
      <c r="A14" s="5" t="s">
        <v>18</v>
      </c>
      <c r="B14" s="6" t="s">
        <v>19</v>
      </c>
    </row>
    <row r="15" customFormat="false" ht="15" hidden="false" customHeight="false" outlineLevel="0" collapsed="false">
      <c r="A15" s="5" t="s">
        <v>20</v>
      </c>
      <c r="B15" s="6" t="s">
        <v>21</v>
      </c>
    </row>
    <row r="16" customFormat="false" ht="15" hidden="false" customHeight="false" outlineLevel="0" collapsed="false">
      <c r="A16" s="5" t="s">
        <v>22</v>
      </c>
      <c r="B16" s="6" t="s">
        <v>23</v>
      </c>
    </row>
    <row r="17" customFormat="false" ht="15" hidden="false" customHeight="false" outlineLevel="0" collapsed="false">
      <c r="A17" s="7" t="s">
        <v>24</v>
      </c>
      <c r="B17" s="6" t="s">
        <v>25</v>
      </c>
    </row>
    <row r="18" customFormat="false" ht="15" hidden="false" customHeight="false" outlineLevel="0" collapsed="false">
      <c r="A18" s="8" t="s">
        <v>26</v>
      </c>
      <c r="B18" s="6" t="s">
        <v>27</v>
      </c>
    </row>
    <row r="19" customFormat="false" ht="15" hidden="false" customHeight="false" outlineLevel="0" collapsed="false">
      <c r="A19" s="9" t="s">
        <v>28</v>
      </c>
      <c r="B19" s="6" t="s">
        <v>29</v>
      </c>
    </row>
    <row r="20" customFormat="false" ht="15" hidden="false" customHeight="false" outlineLevel="0" collapsed="false">
      <c r="A20" s="5" t="s">
        <v>30</v>
      </c>
      <c r="B20" s="6" t="s">
        <v>31</v>
      </c>
    </row>
    <row r="22" customFormat="false" ht="15" hidden="false" customHeight="false" outlineLevel="0" collapsed="false">
      <c r="A22" s="3" t="s">
        <v>32</v>
      </c>
    </row>
    <row r="23" customFormat="false" ht="15" hidden="false" customHeight="false" outlineLevel="0" collapsed="false">
      <c r="A23" s="5" t="s">
        <v>33</v>
      </c>
      <c r="B23" s="6" t="s">
        <v>34</v>
      </c>
    </row>
    <row r="24" customFormat="false" ht="15" hidden="false" customHeight="false" outlineLevel="0" collapsed="false">
      <c r="A24" s="5" t="s">
        <v>35</v>
      </c>
      <c r="B24" s="6" t="s">
        <v>36</v>
      </c>
    </row>
    <row r="25" customFormat="false" ht="15" hidden="false" customHeight="false" outlineLevel="0" collapsed="false">
      <c r="A25" s="5" t="s">
        <v>37</v>
      </c>
      <c r="B25" s="6" t="s">
        <v>38</v>
      </c>
    </row>
    <row r="26" customFormat="false" ht="15" hidden="false" customHeight="false" outlineLevel="0" collapsed="false">
      <c r="A26" s="5" t="s">
        <v>39</v>
      </c>
      <c r="B26" s="6" t="s">
        <v>40</v>
      </c>
    </row>
    <row r="28" customFormat="false" ht="15" hidden="false" customHeight="false" outlineLevel="0" collapsed="false">
      <c r="A28" s="3" t="s">
        <v>41</v>
      </c>
    </row>
    <row r="29" customFormat="false" ht="15" hidden="false" customHeight="false" outlineLevel="0" collapsed="false">
      <c r="A29" s="5" t="s">
        <v>42</v>
      </c>
      <c r="B29" s="6" t="s">
        <v>43</v>
      </c>
    </row>
    <row r="30" customFormat="false" ht="23.85" hidden="false" customHeight="false" outlineLevel="0" collapsed="false">
      <c r="A30" s="5" t="s">
        <v>44</v>
      </c>
      <c r="B30" s="6" t="s">
        <v>45</v>
      </c>
    </row>
    <row r="31" customFormat="false" ht="15" hidden="false" customHeight="false" outlineLevel="0" collapsed="false">
      <c r="A31" s="5" t="s">
        <v>46</v>
      </c>
      <c r="B31" s="6" t="s">
        <v>47</v>
      </c>
    </row>
    <row r="32" customFormat="false" ht="15" hidden="false" customHeight="false" outlineLevel="0" collapsed="false">
      <c r="A32" s="5" t="s">
        <v>48</v>
      </c>
      <c r="B32" s="6" t="s">
        <v>49</v>
      </c>
    </row>
    <row r="33" customFormat="false" ht="15" hidden="false" customHeight="false" outlineLevel="0" collapsed="false">
      <c r="A33" s="5" t="s">
        <v>50</v>
      </c>
      <c r="B33" s="6" t="s">
        <v>51</v>
      </c>
    </row>
    <row r="34" customFormat="false" ht="15" hidden="false" customHeight="false" outlineLevel="0" collapsed="false">
      <c r="A34" s="5" t="s">
        <v>52</v>
      </c>
      <c r="B34" s="6" t="s">
        <v>53</v>
      </c>
    </row>
    <row r="35" customFormat="false" ht="15" hidden="false" customHeight="false" outlineLevel="0" collapsed="false">
      <c r="A35" s="5" t="s">
        <v>54</v>
      </c>
      <c r="B35" s="6" t="s">
        <v>55</v>
      </c>
    </row>
    <row r="36" customFormat="false" ht="23.85" hidden="false" customHeight="false" outlineLevel="0" collapsed="false">
      <c r="A36" s="5" t="s">
        <v>56</v>
      </c>
      <c r="B36" s="6" t="s">
        <v>57</v>
      </c>
    </row>
    <row r="37" customFormat="false" ht="15" hidden="false" customHeight="false" outlineLevel="0" collapsed="false">
      <c r="A37" s="5" t="s">
        <v>58</v>
      </c>
      <c r="B37" s="6" t="s">
        <v>59</v>
      </c>
    </row>
    <row r="38" customFormat="false" ht="15" hidden="false" customHeight="false" outlineLevel="0" collapsed="false">
      <c r="A38" s="5" t="s">
        <v>60</v>
      </c>
      <c r="B38" s="6" t="s">
        <v>61</v>
      </c>
    </row>
    <row r="39" customFormat="false" ht="15" hidden="false" customHeight="false" outlineLevel="0" collapsed="false">
      <c r="A39" s="5" t="s">
        <v>62</v>
      </c>
      <c r="B39" s="6" t="s">
        <v>63</v>
      </c>
    </row>
    <row r="40" customFormat="false" ht="15" hidden="false" customHeight="false" outlineLevel="0" collapsed="false">
      <c r="A40" s="5" t="s">
        <v>64</v>
      </c>
      <c r="B40" s="6" t="s">
        <v>65</v>
      </c>
    </row>
    <row r="41" customFormat="false" ht="15" hidden="false" customHeight="false" outlineLevel="0" collapsed="false">
      <c r="A41" s="5" t="s">
        <v>66</v>
      </c>
      <c r="B41" s="6" t="s">
        <v>67</v>
      </c>
    </row>
    <row r="43" customFormat="false" ht="15" hidden="false" customHeight="false" outlineLevel="0" collapsed="false">
      <c r="A43" s="3" t="s">
        <v>68</v>
      </c>
    </row>
    <row r="44" customFormat="false" ht="23.85" hidden="false" customHeight="false" outlineLevel="0" collapsed="false">
      <c r="B44" s="6" t="s">
        <v>69</v>
      </c>
    </row>
    <row r="45" customFormat="false" ht="23.85" hidden="false" customHeight="false" outlineLevel="0" collapsed="false">
      <c r="B45" s="6" t="s">
        <v>70</v>
      </c>
    </row>
    <row r="46" customFormat="false" ht="23.85" hidden="false" customHeight="false" outlineLevel="0" collapsed="false">
      <c r="B46" s="6" t="s">
        <v>71</v>
      </c>
    </row>
    <row r="47" customFormat="false" ht="23.85" hidden="false" customHeight="false" outlineLevel="0" collapsed="false">
      <c r="B47" s="6" t="s">
        <v>72</v>
      </c>
    </row>
    <row r="48" customFormat="false" ht="23.85" hidden="false" customHeight="false" outlineLevel="0" collapsed="false">
      <c r="B48" s="6" t="s">
        <v>73</v>
      </c>
    </row>
    <row r="49" customFormat="false" ht="23.85" hidden="false" customHeight="false" outlineLevel="0" collapsed="false">
      <c r="B49" s="6" t="s">
        <v>74</v>
      </c>
    </row>
    <row r="50" customFormat="false" ht="23.85" hidden="false" customHeight="false" outlineLevel="0" collapsed="false">
      <c r="B50" s="6" t="s">
        <v>75</v>
      </c>
    </row>
    <row r="52" customFormat="false" ht="15" hidden="false" customHeight="false" outlineLevel="0" collapsed="false">
      <c r="A52" s="3" t="s">
        <v>76</v>
      </c>
    </row>
    <row r="53" customFormat="false" ht="23.85" hidden="false" customHeight="false" outlineLevel="0" collapsed="false">
      <c r="B53" s="6" t="s">
        <v>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30"/>
    <col collapsed="false" customWidth="true" hidden="false" outlineLevel="0" max="4" min="4" style="0" width="16"/>
    <col collapsed="false" customWidth="true" hidden="false" outlineLevel="0" max="5" min="5" style="0" width="70"/>
  </cols>
  <sheetData>
    <row r="1" customFormat="false" ht="17.35" hidden="false" customHeight="false" outlineLevel="0" collapsed="false">
      <c r="A1" s="1" t="s">
        <v>78</v>
      </c>
    </row>
    <row r="2" customFormat="false" ht="15" hidden="false" customHeight="false" outlineLevel="0" collapsed="false">
      <c r="A2" s="2" t="s">
        <v>79</v>
      </c>
    </row>
    <row r="4" customFormat="false" ht="15" hidden="false" customHeight="false" outlineLevel="0" collapsed="false">
      <c r="A4" s="4" t="s">
        <v>80</v>
      </c>
      <c r="B4" s="4" t="s">
        <v>81</v>
      </c>
      <c r="C4" s="4" t="s">
        <v>82</v>
      </c>
      <c r="D4" s="4" t="s">
        <v>83</v>
      </c>
      <c r="E4" s="4" t="s">
        <v>84</v>
      </c>
    </row>
    <row r="5" customFormat="false" ht="15" hidden="false" customHeight="false" outlineLevel="0" collapsed="false">
      <c r="A5" s="6" t="s">
        <v>85</v>
      </c>
      <c r="B5" s="10" t="n">
        <v>20</v>
      </c>
      <c r="C5" s="6" t="s">
        <v>86</v>
      </c>
      <c r="D5" s="6" t="s">
        <v>87</v>
      </c>
      <c r="E5" s="6"/>
    </row>
    <row r="6" customFormat="false" ht="15" hidden="false" customHeight="false" outlineLevel="0" collapsed="false">
      <c r="A6" s="6" t="s">
        <v>88</v>
      </c>
      <c r="B6" s="10" t="n">
        <v>10</v>
      </c>
      <c r="C6" s="6" t="s">
        <v>89</v>
      </c>
      <c r="D6" s="6" t="s">
        <v>87</v>
      </c>
      <c r="E6" s="6" t="s">
        <v>90</v>
      </c>
    </row>
    <row r="7" customFormat="false" ht="23.85" hidden="false" customHeight="false" outlineLevel="0" collapsed="false">
      <c r="A7" s="6" t="s">
        <v>91</v>
      </c>
      <c r="B7" s="10" t="n">
        <v>10</v>
      </c>
      <c r="C7" s="6" t="s">
        <v>89</v>
      </c>
      <c r="D7" s="6" t="s">
        <v>87</v>
      </c>
      <c r="E7" s="6" t="s">
        <v>92</v>
      </c>
    </row>
    <row r="8" customFormat="false" ht="15" hidden="false" customHeight="false" outlineLevel="0" collapsed="false">
      <c r="A8" s="6" t="s">
        <v>93</v>
      </c>
      <c r="B8" s="10" t="n">
        <v>20</v>
      </c>
      <c r="C8" s="6" t="s">
        <v>89</v>
      </c>
      <c r="D8" s="6" t="s">
        <v>87</v>
      </c>
      <c r="E8" s="6" t="s">
        <v>94</v>
      </c>
    </row>
    <row r="9" customFormat="false" ht="23.85" hidden="false" customHeight="false" outlineLevel="0" collapsed="false">
      <c r="A9" s="6" t="s">
        <v>95</v>
      </c>
      <c r="B9" s="10" t="n">
        <v>0.6</v>
      </c>
      <c r="C9" s="6" t="s">
        <v>96</v>
      </c>
      <c r="D9" s="6" t="s">
        <v>97</v>
      </c>
      <c r="E9" s="6" t="s">
        <v>98</v>
      </c>
    </row>
    <row r="10" customFormat="false" ht="15" hidden="false" customHeight="false" outlineLevel="0" collapsed="false">
      <c r="A10" s="6" t="s">
        <v>99</v>
      </c>
      <c r="B10" s="10" t="n">
        <v>5.5</v>
      </c>
      <c r="C10" s="6" t="s">
        <v>100</v>
      </c>
      <c r="D10" s="6" t="s">
        <v>101</v>
      </c>
      <c r="E10" s="6" t="s">
        <v>102</v>
      </c>
    </row>
    <row r="11" customFormat="false" ht="15" hidden="false" customHeight="false" outlineLevel="0" collapsed="false">
      <c r="A11" s="6" t="s">
        <v>103</v>
      </c>
      <c r="B11" s="6" t="n">
        <f aca="false">B10*B5</f>
        <v>110</v>
      </c>
      <c r="C11" s="6" t="s">
        <v>100</v>
      </c>
      <c r="D11" s="6" t="s">
        <v>104</v>
      </c>
      <c r="E11" s="6" t="s">
        <v>105</v>
      </c>
    </row>
    <row r="12" customFormat="false" ht="15" hidden="false" customHeight="false" outlineLevel="0" collapsed="false">
      <c r="A12" s="6" t="s">
        <v>106</v>
      </c>
      <c r="B12" s="6" t="n">
        <f aca="false">B11*B9</f>
        <v>66</v>
      </c>
      <c r="C12" s="6" t="s">
        <v>100</v>
      </c>
      <c r="D12" s="6" t="s">
        <v>104</v>
      </c>
      <c r="E12" s="6" t="s">
        <v>107</v>
      </c>
    </row>
    <row r="13" customFormat="false" ht="23.85" hidden="false" customHeight="false" outlineLevel="0" collapsed="false">
      <c r="A13" s="6" t="s">
        <v>108</v>
      </c>
      <c r="B13" s="10" t="n">
        <v>1.1</v>
      </c>
      <c r="C13" s="6" t="s">
        <v>100</v>
      </c>
      <c r="D13" s="6" t="s">
        <v>104</v>
      </c>
      <c r="E13" s="6" t="s">
        <v>109</v>
      </c>
    </row>
    <row r="14" customFormat="false" ht="15" hidden="false" customHeight="false" outlineLevel="0" collapsed="false">
      <c r="A14" s="6" t="s">
        <v>110</v>
      </c>
      <c r="B14" s="6" t="n">
        <f aca="false">B8*B13</f>
        <v>22</v>
      </c>
      <c r="C14" s="6" t="s">
        <v>100</v>
      </c>
      <c r="D14" s="6" t="s">
        <v>104</v>
      </c>
    </row>
    <row r="15" customFormat="false" ht="23.85" hidden="false" customHeight="false" outlineLevel="0" collapsed="false">
      <c r="A15" s="6" t="s">
        <v>111</v>
      </c>
      <c r="B15" s="6" t="n">
        <f aca="false">B14-B12</f>
        <v>-44</v>
      </c>
      <c r="C15" s="6" t="s">
        <v>100</v>
      </c>
      <c r="D15" s="6" t="s">
        <v>104</v>
      </c>
      <c r="E15" s="6" t="s">
        <v>112</v>
      </c>
    </row>
    <row r="16" customFormat="false" ht="15" hidden="false" customHeight="false" outlineLevel="0" collapsed="false">
      <c r="A16" s="6" t="s">
        <v>113</v>
      </c>
      <c r="B16" s="10" t="n">
        <v>-44</v>
      </c>
      <c r="C16" s="6" t="s">
        <v>100</v>
      </c>
      <c r="D16" s="6" t="s">
        <v>104</v>
      </c>
    </row>
    <row r="17" customFormat="false" ht="23.85" hidden="false" customHeight="false" outlineLevel="0" collapsed="false">
      <c r="A17" s="6" t="s">
        <v>114</v>
      </c>
      <c r="B17" s="10" t="n">
        <v>2.2</v>
      </c>
      <c r="C17" s="6" t="s">
        <v>100</v>
      </c>
      <c r="D17" s="6" t="s">
        <v>104</v>
      </c>
      <c r="E17" s="6" t="s">
        <v>115</v>
      </c>
    </row>
    <row r="18" customFormat="false" ht="15" hidden="false" customHeight="false" outlineLevel="0" collapsed="false">
      <c r="A18" s="6" t="s">
        <v>116</v>
      </c>
      <c r="B18" s="6" t="n">
        <f aca="false">B8*B17</f>
        <v>44</v>
      </c>
      <c r="C18" s="6" t="s">
        <v>100</v>
      </c>
      <c r="D18" s="6" t="s">
        <v>104</v>
      </c>
    </row>
    <row r="19" customFormat="false" ht="23.85" hidden="false" customHeight="false" outlineLevel="0" collapsed="false">
      <c r="A19" s="6" t="s">
        <v>117</v>
      </c>
      <c r="B19" s="6" t="n">
        <f aca="false">B18-B12</f>
        <v>-22</v>
      </c>
      <c r="C19" s="6" t="s">
        <v>100</v>
      </c>
      <c r="D19" s="6" t="s">
        <v>104</v>
      </c>
      <c r="E19" s="6" t="s">
        <v>118</v>
      </c>
    </row>
    <row r="20" customFormat="false" ht="15" hidden="false" customHeight="false" outlineLevel="0" collapsed="false">
      <c r="A20" s="6" t="s">
        <v>119</v>
      </c>
      <c r="B20" s="10" t="n">
        <v>-22</v>
      </c>
      <c r="C20" s="6" t="s">
        <v>100</v>
      </c>
      <c r="D20" s="6" t="s">
        <v>104</v>
      </c>
    </row>
    <row r="21" customFormat="false" ht="23.85" hidden="false" customHeight="false" outlineLevel="0" collapsed="false">
      <c r="A21" s="6" t="s">
        <v>120</v>
      </c>
      <c r="B21" s="10" t="n">
        <v>3.3</v>
      </c>
      <c r="C21" s="6" t="s">
        <v>100</v>
      </c>
      <c r="D21" s="6" t="s">
        <v>104</v>
      </c>
      <c r="E21" s="6" t="s">
        <v>121</v>
      </c>
    </row>
    <row r="22" customFormat="false" ht="15" hidden="false" customHeight="false" outlineLevel="0" collapsed="false">
      <c r="A22" s="6" t="s">
        <v>122</v>
      </c>
      <c r="B22" s="6" t="n">
        <f aca="false">B8*B21</f>
        <v>66</v>
      </c>
      <c r="C22" s="6" t="s">
        <v>100</v>
      </c>
      <c r="D22" s="6" t="s">
        <v>104</v>
      </c>
    </row>
    <row r="23" customFormat="false" ht="15" hidden="false" customHeight="false" outlineLevel="0" collapsed="false">
      <c r="A23" s="6" t="s">
        <v>123</v>
      </c>
      <c r="B23" s="6" t="n">
        <f aca="false">B22-B12</f>
        <v>0</v>
      </c>
      <c r="C23" s="6" t="s">
        <v>100</v>
      </c>
      <c r="D23" s="6" t="s">
        <v>104</v>
      </c>
      <c r="E23" s="6" t="s">
        <v>124</v>
      </c>
    </row>
    <row r="24" customFormat="false" ht="15" hidden="false" customHeight="false" outlineLevel="0" collapsed="false">
      <c r="A24" s="6" t="s">
        <v>125</v>
      </c>
      <c r="B24" s="10" t="n">
        <v>0</v>
      </c>
      <c r="C24" s="6" t="s">
        <v>100</v>
      </c>
      <c r="D24" s="6" t="s">
        <v>104</v>
      </c>
    </row>
    <row r="25" customFormat="false" ht="23.85" hidden="false" customHeight="false" outlineLevel="0" collapsed="false">
      <c r="A25" s="6" t="s">
        <v>126</v>
      </c>
      <c r="B25" s="10" t="s">
        <v>127</v>
      </c>
      <c r="C25" s="6" t="s">
        <v>128</v>
      </c>
      <c r="D25" s="6" t="s">
        <v>129</v>
      </c>
      <c r="E25" s="6" t="s">
        <v>130</v>
      </c>
    </row>
    <row r="26" customFormat="false" ht="23.85" hidden="false" customHeight="false" outlineLevel="0" collapsed="false">
      <c r="A26" s="6" t="s">
        <v>131</v>
      </c>
      <c r="B26" s="10" t="s">
        <v>127</v>
      </c>
      <c r="C26" s="6" t="s">
        <v>128</v>
      </c>
      <c r="D26" s="6" t="s">
        <v>132</v>
      </c>
      <c r="E26" s="6" t="s">
        <v>133</v>
      </c>
    </row>
    <row r="27" customFormat="false" ht="35.05" hidden="false" customHeight="false" outlineLevel="0" collapsed="false">
      <c r="A27" s="6" t="s">
        <v>134</v>
      </c>
      <c r="B27" s="10" t="s">
        <v>127</v>
      </c>
      <c r="C27" s="6" t="s">
        <v>135</v>
      </c>
      <c r="D27" s="6" t="s">
        <v>136</v>
      </c>
      <c r="E27" s="6" t="s">
        <v>137</v>
      </c>
    </row>
    <row r="28" customFormat="false" ht="15" hidden="false" customHeight="false" outlineLevel="0" collapsed="false">
      <c r="A28" s="6" t="s">
        <v>138</v>
      </c>
      <c r="B28" s="6" t="n">
        <f aca="false">3^4</f>
        <v>81</v>
      </c>
      <c r="C28" s="6" t="s">
        <v>89</v>
      </c>
      <c r="D28" s="6" t="s">
        <v>139</v>
      </c>
      <c r="E28" s="6" t="s">
        <v>140</v>
      </c>
    </row>
    <row r="29" customFormat="false" ht="23.85" hidden="false" customHeight="false" outlineLevel="0" collapsed="false">
      <c r="A29" s="6" t="s">
        <v>141</v>
      </c>
      <c r="B29" s="10" t="n">
        <v>4</v>
      </c>
      <c r="C29" s="6" t="s">
        <v>89</v>
      </c>
      <c r="D29" s="6" t="s">
        <v>142</v>
      </c>
      <c r="E29" s="6" t="s">
        <v>143</v>
      </c>
    </row>
    <row r="30" customFormat="false" ht="15" hidden="false" customHeight="false" outlineLevel="0" collapsed="false">
      <c r="A30" s="6" t="s">
        <v>144</v>
      </c>
      <c r="B30" s="6" t="n">
        <f aca="false">B28*B29</f>
        <v>324</v>
      </c>
      <c r="C30" s="6" t="s">
        <v>145</v>
      </c>
      <c r="D30" s="6" t="s">
        <v>139</v>
      </c>
      <c r="E30" s="6" t="s">
        <v>146</v>
      </c>
    </row>
    <row r="31" customFormat="false" ht="23.85" hidden="false" customHeight="false" outlineLevel="0" collapsed="false">
      <c r="A31" s="6" t="s">
        <v>147</v>
      </c>
      <c r="B31" s="10" t="n">
        <v>1</v>
      </c>
      <c r="C31" s="6" t="s">
        <v>148</v>
      </c>
      <c r="D31" s="6" t="s">
        <v>149</v>
      </c>
      <c r="E31" s="6" t="s">
        <v>150</v>
      </c>
    </row>
    <row r="32" customFormat="false" ht="23.85" hidden="false" customHeight="false" outlineLevel="0" collapsed="false">
      <c r="A32" s="6" t="s">
        <v>151</v>
      </c>
      <c r="B32" s="10" t="s">
        <v>152</v>
      </c>
      <c r="C32" s="6" t="s">
        <v>148</v>
      </c>
      <c r="D32" s="6" t="s">
        <v>149</v>
      </c>
      <c r="E32" s="6" t="s">
        <v>153</v>
      </c>
    </row>
    <row r="33" customFormat="false" ht="35.05" hidden="false" customHeight="false" outlineLevel="0" collapsed="false">
      <c r="A33" s="6" t="s">
        <v>154</v>
      </c>
      <c r="B33" s="10" t="n">
        <v>1.1</v>
      </c>
      <c r="C33" s="6" t="s">
        <v>100</v>
      </c>
      <c r="D33" s="6" t="s">
        <v>155</v>
      </c>
      <c r="E33" s="6" t="s">
        <v>156</v>
      </c>
    </row>
    <row r="34" customFormat="false" ht="57.45" hidden="false" customHeight="false" outlineLevel="0" collapsed="false">
      <c r="A34" s="6" t="s">
        <v>157</v>
      </c>
      <c r="B34" s="10" t="s">
        <v>158</v>
      </c>
      <c r="C34" s="6" t="s">
        <v>159</v>
      </c>
      <c r="D34" s="6" t="s">
        <v>160</v>
      </c>
      <c r="E34" s="6" t="s">
        <v>161</v>
      </c>
    </row>
    <row r="35" customFormat="false" ht="35.05" hidden="false" customHeight="false" outlineLevel="0" collapsed="false">
      <c r="A35" s="6" t="s">
        <v>162</v>
      </c>
      <c r="B35" s="10" t="s">
        <v>163</v>
      </c>
      <c r="C35" s="6" t="s">
        <v>164</v>
      </c>
      <c r="D35" s="6" t="s">
        <v>139</v>
      </c>
      <c r="E35" s="6" t="s">
        <v>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9" min="2" style="0" width="4.2"/>
  </cols>
  <sheetData>
    <row r="1" customFormat="false" ht="17.35" hidden="false" customHeight="false" outlineLevel="0" collapsed="false">
      <c r="A1" s="1" t="s">
        <v>166</v>
      </c>
    </row>
    <row r="2" customFormat="false" ht="15" hidden="false" customHeight="false" outlineLevel="0" collapsed="false">
      <c r="A2" s="2" t="s">
        <v>167</v>
      </c>
    </row>
    <row r="3" customFormat="false" ht="15" hidden="false" customHeight="false" outlineLevel="0" collapsed="false">
      <c r="A3" s="2" t="s">
        <v>168</v>
      </c>
    </row>
    <row r="5" customFormat="false" ht="15" hidden="false" customHeight="false" outlineLevel="0" collapsed="false">
      <c r="A5" s="3" t="s">
        <v>169</v>
      </c>
    </row>
    <row r="6" customFormat="false" ht="15" hidden="false" customHeight="false" outlineLevel="0" collapsed="false">
      <c r="B6" s="11" t="s">
        <v>170</v>
      </c>
      <c r="N6" s="11" t="s">
        <v>171</v>
      </c>
      <c r="Z6" s="11" t="s">
        <v>172</v>
      </c>
    </row>
    <row r="7" customFormat="false" ht="15" hidden="false" customHeight="false" outlineLevel="0" collapsed="false">
      <c r="B7" s="4" t="s">
        <v>173</v>
      </c>
      <c r="C7" s="12" t="n">
        <v>1</v>
      </c>
      <c r="D7" s="12" t="n">
        <v>2</v>
      </c>
      <c r="E7" s="12" t="n">
        <v>3</v>
      </c>
      <c r="F7" s="12" t="n">
        <v>4</v>
      </c>
      <c r="G7" s="12" t="n">
        <v>5</v>
      </c>
      <c r="H7" s="12" t="n">
        <v>6</v>
      </c>
      <c r="I7" s="12" t="n">
        <v>7</v>
      </c>
      <c r="J7" s="12" t="n">
        <v>8</v>
      </c>
      <c r="K7" s="12" t="n">
        <v>9</v>
      </c>
      <c r="L7" s="12" t="n">
        <v>10</v>
      </c>
      <c r="N7" s="4" t="s">
        <v>173</v>
      </c>
      <c r="O7" s="12" t="n">
        <v>1</v>
      </c>
      <c r="P7" s="12" t="n">
        <v>2</v>
      </c>
      <c r="Q7" s="12" t="n">
        <v>3</v>
      </c>
      <c r="R7" s="12" t="n">
        <v>4</v>
      </c>
      <c r="S7" s="12" t="n">
        <v>5</v>
      </c>
      <c r="T7" s="12" t="n">
        <v>6</v>
      </c>
      <c r="U7" s="12" t="n">
        <v>7</v>
      </c>
      <c r="V7" s="12" t="n">
        <v>8</v>
      </c>
      <c r="W7" s="12" t="n">
        <v>9</v>
      </c>
      <c r="X7" s="12" t="n">
        <v>10</v>
      </c>
      <c r="Z7" s="4" t="s">
        <v>173</v>
      </c>
      <c r="AA7" s="12" t="n">
        <v>1</v>
      </c>
      <c r="AB7" s="12" t="n">
        <v>2</v>
      </c>
      <c r="AC7" s="12" t="n">
        <v>3</v>
      </c>
      <c r="AD7" s="12" t="n">
        <v>4</v>
      </c>
      <c r="AE7" s="12" t="n">
        <v>5</v>
      </c>
      <c r="AF7" s="12" t="n">
        <v>6</v>
      </c>
      <c r="AG7" s="12" t="n">
        <v>7</v>
      </c>
      <c r="AH7" s="12" t="n">
        <v>8</v>
      </c>
      <c r="AI7" s="12" t="n">
        <v>9</v>
      </c>
      <c r="AJ7" s="12" t="n">
        <v>10</v>
      </c>
    </row>
    <row r="8" customFormat="false" ht="15" hidden="false" customHeight="false" outlineLevel="0" collapsed="false">
      <c r="B8" s="12" t="n">
        <v>1</v>
      </c>
      <c r="C8" s="13" t="n">
        <f aca="false">1</f>
        <v>1</v>
      </c>
      <c r="D8" s="13" t="n">
        <f aca="false">1</f>
        <v>1</v>
      </c>
      <c r="E8" s="13" t="n">
        <f aca="false">1</f>
        <v>1</v>
      </c>
      <c r="F8" s="13" t="n">
        <f aca="false">1</f>
        <v>1</v>
      </c>
      <c r="G8" s="13" t="n">
        <f aca="false">1</f>
        <v>1</v>
      </c>
      <c r="H8" s="13" t="n">
        <f aca="false">1</f>
        <v>1</v>
      </c>
      <c r="I8" s="13" t="n">
        <f aca="false">1</f>
        <v>1</v>
      </c>
      <c r="J8" s="13" t="n">
        <f aca="false">1</f>
        <v>1</v>
      </c>
      <c r="K8" s="13" t="n">
        <f aca="false">1</f>
        <v>1</v>
      </c>
      <c r="L8" s="13" t="n">
        <f aca="false">1</f>
        <v>1</v>
      </c>
      <c r="N8" s="12" t="n">
        <v>1</v>
      </c>
      <c r="O8" s="13" t="n">
        <f aca="false">IF(O$7&gt;=ROUNDUP($N8/2,0),1,0)</f>
        <v>1</v>
      </c>
      <c r="P8" s="13" t="n">
        <f aca="false">IF(P$7&gt;=ROUNDUP($N8/2,0),1,0)</f>
        <v>1</v>
      </c>
      <c r="Q8" s="13" t="n">
        <f aca="false">IF(Q$7&gt;=ROUNDUP($N8/2,0),1,0)</f>
        <v>1</v>
      </c>
      <c r="R8" s="13" t="n">
        <f aca="false">IF(R$7&gt;=ROUNDUP($N8/2,0),1,0)</f>
        <v>1</v>
      </c>
      <c r="S8" s="13" t="n">
        <f aca="false">IF(S$7&gt;=ROUNDUP($N8/2,0),1,0)</f>
        <v>1</v>
      </c>
      <c r="T8" s="13" t="n">
        <f aca="false">IF(T$7&gt;=ROUNDUP($N8/2,0),1,0)</f>
        <v>1</v>
      </c>
      <c r="U8" s="13" t="n">
        <f aca="false">IF(U$7&gt;=ROUNDUP($N8/2,0),1,0)</f>
        <v>1</v>
      </c>
      <c r="V8" s="13" t="n">
        <f aca="false">IF(V$7&gt;=ROUNDUP($N8/2,0),1,0)</f>
        <v>1</v>
      </c>
      <c r="W8" s="13" t="n">
        <f aca="false">IF(W$7&gt;=ROUNDUP($N8/2,0),1,0)</f>
        <v>1</v>
      </c>
      <c r="X8" s="13" t="n">
        <f aca="false">IF(X$7&gt;=ROUNDUP($N8/2,0),1,0)</f>
        <v>1</v>
      </c>
      <c r="Z8" s="12" t="n">
        <v>1</v>
      </c>
      <c r="AA8" s="13" t="n">
        <f aca="false">IF(AA$7=ROUNDUP($Z8/2,0),1,0)</f>
        <v>1</v>
      </c>
      <c r="AB8" s="13" t="n">
        <f aca="false">IF(AB$7=ROUNDUP($Z8/2,0),1,0)</f>
        <v>0</v>
      </c>
      <c r="AC8" s="13" t="n">
        <f aca="false">IF(AC$7=ROUNDUP($Z8/2,0),1,0)</f>
        <v>0</v>
      </c>
      <c r="AD8" s="13" t="n">
        <f aca="false">IF(AD$7=ROUNDUP($Z8/2,0),1,0)</f>
        <v>0</v>
      </c>
      <c r="AE8" s="13" t="n">
        <f aca="false">IF(AE$7=ROUNDUP($Z8/2,0),1,0)</f>
        <v>0</v>
      </c>
      <c r="AF8" s="13" t="n">
        <f aca="false">IF(AF$7=ROUNDUP($Z8/2,0),1,0)</f>
        <v>0</v>
      </c>
      <c r="AG8" s="13" t="n">
        <f aca="false">IF(AG$7=ROUNDUP($Z8/2,0),1,0)</f>
        <v>0</v>
      </c>
      <c r="AH8" s="13" t="n">
        <f aca="false">IF(AH$7=ROUNDUP($Z8/2,0),1,0)</f>
        <v>0</v>
      </c>
      <c r="AI8" s="13" t="n">
        <f aca="false">IF(AI$7=ROUNDUP($Z8/2,0),1,0)</f>
        <v>0</v>
      </c>
      <c r="AJ8" s="13" t="n">
        <f aca="false">IF(AJ$7=ROUNDUP($Z8/2,0),1,0)</f>
        <v>0</v>
      </c>
    </row>
    <row r="9" customFormat="false" ht="15" hidden="false" customHeight="false" outlineLevel="0" collapsed="false">
      <c r="B9" s="12" t="n">
        <v>2</v>
      </c>
      <c r="C9" s="13" t="n">
        <f aca="false">1</f>
        <v>1</v>
      </c>
      <c r="D9" s="13" t="n">
        <f aca="false">1</f>
        <v>1</v>
      </c>
      <c r="E9" s="13" t="n">
        <f aca="false">1</f>
        <v>1</v>
      </c>
      <c r="F9" s="13" t="n">
        <f aca="false">1</f>
        <v>1</v>
      </c>
      <c r="G9" s="13" t="n">
        <f aca="false">1</f>
        <v>1</v>
      </c>
      <c r="H9" s="13" t="n">
        <f aca="false">1</f>
        <v>1</v>
      </c>
      <c r="I9" s="13" t="n">
        <f aca="false">1</f>
        <v>1</v>
      </c>
      <c r="J9" s="13" t="n">
        <f aca="false">1</f>
        <v>1</v>
      </c>
      <c r="K9" s="13" t="n">
        <f aca="false">1</f>
        <v>1</v>
      </c>
      <c r="L9" s="13" t="n">
        <f aca="false">1</f>
        <v>1</v>
      </c>
      <c r="N9" s="12" t="n">
        <v>2</v>
      </c>
      <c r="O9" s="13" t="n">
        <f aca="false">IF(O$7&gt;=ROUNDUP($N9/2,0),1,0)</f>
        <v>1</v>
      </c>
      <c r="P9" s="13" t="n">
        <f aca="false">IF(P$7&gt;=ROUNDUP($N9/2,0),1,0)</f>
        <v>1</v>
      </c>
      <c r="Q9" s="13" t="n">
        <f aca="false">IF(Q$7&gt;=ROUNDUP($N9/2,0),1,0)</f>
        <v>1</v>
      </c>
      <c r="R9" s="13" t="n">
        <f aca="false">IF(R$7&gt;=ROUNDUP($N9/2,0),1,0)</f>
        <v>1</v>
      </c>
      <c r="S9" s="13" t="n">
        <f aca="false">IF(S$7&gt;=ROUNDUP($N9/2,0),1,0)</f>
        <v>1</v>
      </c>
      <c r="T9" s="13" t="n">
        <f aca="false">IF(T$7&gt;=ROUNDUP($N9/2,0),1,0)</f>
        <v>1</v>
      </c>
      <c r="U9" s="13" t="n">
        <f aca="false">IF(U$7&gt;=ROUNDUP($N9/2,0),1,0)</f>
        <v>1</v>
      </c>
      <c r="V9" s="13" t="n">
        <f aca="false">IF(V$7&gt;=ROUNDUP($N9/2,0),1,0)</f>
        <v>1</v>
      </c>
      <c r="W9" s="13" t="n">
        <f aca="false">IF(W$7&gt;=ROUNDUP($N9/2,0),1,0)</f>
        <v>1</v>
      </c>
      <c r="X9" s="13" t="n">
        <f aca="false">IF(X$7&gt;=ROUNDUP($N9/2,0),1,0)</f>
        <v>1</v>
      </c>
      <c r="Z9" s="12" t="n">
        <v>2</v>
      </c>
      <c r="AA9" s="13" t="n">
        <f aca="false">IF(AA$7=ROUNDUP($Z9/2,0),1,0)</f>
        <v>1</v>
      </c>
      <c r="AB9" s="13" t="n">
        <f aca="false">IF(AB$7=ROUNDUP($Z9/2,0),1,0)</f>
        <v>0</v>
      </c>
      <c r="AC9" s="13" t="n">
        <f aca="false">IF(AC$7=ROUNDUP($Z9/2,0),1,0)</f>
        <v>0</v>
      </c>
      <c r="AD9" s="13" t="n">
        <f aca="false">IF(AD$7=ROUNDUP($Z9/2,0),1,0)</f>
        <v>0</v>
      </c>
      <c r="AE9" s="13" t="n">
        <f aca="false">IF(AE$7=ROUNDUP($Z9/2,0),1,0)</f>
        <v>0</v>
      </c>
      <c r="AF9" s="13" t="n">
        <f aca="false">IF(AF$7=ROUNDUP($Z9/2,0),1,0)</f>
        <v>0</v>
      </c>
      <c r="AG9" s="13" t="n">
        <f aca="false">IF(AG$7=ROUNDUP($Z9/2,0),1,0)</f>
        <v>0</v>
      </c>
      <c r="AH9" s="13" t="n">
        <f aca="false">IF(AH$7=ROUNDUP($Z9/2,0),1,0)</f>
        <v>0</v>
      </c>
      <c r="AI9" s="13" t="n">
        <f aca="false">IF(AI$7=ROUNDUP($Z9/2,0),1,0)</f>
        <v>0</v>
      </c>
      <c r="AJ9" s="13" t="n">
        <f aca="false">IF(AJ$7=ROUNDUP($Z9/2,0),1,0)</f>
        <v>0</v>
      </c>
    </row>
    <row r="10" customFormat="false" ht="15" hidden="false" customHeight="false" outlineLevel="0" collapsed="false">
      <c r="B10" s="12" t="n">
        <v>3</v>
      </c>
      <c r="C10" s="13" t="n">
        <f aca="false">1</f>
        <v>1</v>
      </c>
      <c r="D10" s="13" t="n">
        <f aca="false">1</f>
        <v>1</v>
      </c>
      <c r="E10" s="13" t="n">
        <f aca="false">1</f>
        <v>1</v>
      </c>
      <c r="F10" s="13" t="n">
        <f aca="false">1</f>
        <v>1</v>
      </c>
      <c r="G10" s="13" t="n">
        <f aca="false">1</f>
        <v>1</v>
      </c>
      <c r="H10" s="13" t="n">
        <f aca="false">1</f>
        <v>1</v>
      </c>
      <c r="I10" s="13" t="n">
        <f aca="false">1</f>
        <v>1</v>
      </c>
      <c r="J10" s="13" t="n">
        <f aca="false">1</f>
        <v>1</v>
      </c>
      <c r="K10" s="13" t="n">
        <f aca="false">1</f>
        <v>1</v>
      </c>
      <c r="L10" s="13" t="n">
        <f aca="false">1</f>
        <v>1</v>
      </c>
      <c r="N10" s="12" t="n">
        <v>3</v>
      </c>
      <c r="O10" s="13" t="n">
        <f aca="false">IF(O$7&gt;=ROUNDUP($N10/2,0),1,0)</f>
        <v>0</v>
      </c>
      <c r="P10" s="13" t="n">
        <f aca="false">IF(P$7&gt;=ROUNDUP($N10/2,0),1,0)</f>
        <v>1</v>
      </c>
      <c r="Q10" s="13" t="n">
        <f aca="false">IF(Q$7&gt;=ROUNDUP($N10/2,0),1,0)</f>
        <v>1</v>
      </c>
      <c r="R10" s="13" t="n">
        <f aca="false">IF(R$7&gt;=ROUNDUP($N10/2,0),1,0)</f>
        <v>1</v>
      </c>
      <c r="S10" s="13" t="n">
        <f aca="false">IF(S$7&gt;=ROUNDUP($N10/2,0),1,0)</f>
        <v>1</v>
      </c>
      <c r="T10" s="13" t="n">
        <f aca="false">IF(T$7&gt;=ROUNDUP($N10/2,0),1,0)</f>
        <v>1</v>
      </c>
      <c r="U10" s="13" t="n">
        <f aca="false">IF(U$7&gt;=ROUNDUP($N10/2,0),1,0)</f>
        <v>1</v>
      </c>
      <c r="V10" s="13" t="n">
        <f aca="false">IF(V$7&gt;=ROUNDUP($N10/2,0),1,0)</f>
        <v>1</v>
      </c>
      <c r="W10" s="13" t="n">
        <f aca="false">IF(W$7&gt;=ROUNDUP($N10/2,0),1,0)</f>
        <v>1</v>
      </c>
      <c r="X10" s="13" t="n">
        <f aca="false">IF(X$7&gt;=ROUNDUP($N10/2,0),1,0)</f>
        <v>1</v>
      </c>
      <c r="Z10" s="12" t="n">
        <v>3</v>
      </c>
      <c r="AA10" s="13" t="n">
        <f aca="false">IF(AA$7=ROUNDUP($Z10/2,0),1,0)</f>
        <v>0</v>
      </c>
      <c r="AB10" s="13" t="n">
        <f aca="false">IF(AB$7=ROUNDUP($Z10/2,0),1,0)</f>
        <v>1</v>
      </c>
      <c r="AC10" s="13" t="n">
        <f aca="false">IF(AC$7=ROUNDUP($Z10/2,0),1,0)</f>
        <v>0</v>
      </c>
      <c r="AD10" s="13" t="n">
        <f aca="false">IF(AD$7=ROUNDUP($Z10/2,0),1,0)</f>
        <v>0</v>
      </c>
      <c r="AE10" s="13" t="n">
        <f aca="false">IF(AE$7=ROUNDUP($Z10/2,0),1,0)</f>
        <v>0</v>
      </c>
      <c r="AF10" s="13" t="n">
        <f aca="false">IF(AF$7=ROUNDUP($Z10/2,0),1,0)</f>
        <v>0</v>
      </c>
      <c r="AG10" s="13" t="n">
        <f aca="false">IF(AG$7=ROUNDUP($Z10/2,0),1,0)</f>
        <v>0</v>
      </c>
      <c r="AH10" s="13" t="n">
        <f aca="false">IF(AH$7=ROUNDUP($Z10/2,0),1,0)</f>
        <v>0</v>
      </c>
      <c r="AI10" s="13" t="n">
        <f aca="false">IF(AI$7=ROUNDUP($Z10/2,0),1,0)</f>
        <v>0</v>
      </c>
      <c r="AJ10" s="13" t="n">
        <f aca="false">IF(AJ$7=ROUNDUP($Z10/2,0),1,0)</f>
        <v>0</v>
      </c>
    </row>
    <row r="11" customFormat="false" ht="15" hidden="false" customHeight="false" outlineLevel="0" collapsed="false">
      <c r="B11" s="12" t="n">
        <v>4</v>
      </c>
      <c r="C11" s="13" t="n">
        <f aca="false">1</f>
        <v>1</v>
      </c>
      <c r="D11" s="13" t="n">
        <f aca="false">1</f>
        <v>1</v>
      </c>
      <c r="E11" s="13" t="n">
        <f aca="false">1</f>
        <v>1</v>
      </c>
      <c r="F11" s="13" t="n">
        <f aca="false">1</f>
        <v>1</v>
      </c>
      <c r="G11" s="13" t="n">
        <f aca="false">1</f>
        <v>1</v>
      </c>
      <c r="H11" s="13" t="n">
        <f aca="false">1</f>
        <v>1</v>
      </c>
      <c r="I11" s="13" t="n">
        <f aca="false">1</f>
        <v>1</v>
      </c>
      <c r="J11" s="13" t="n">
        <f aca="false">1</f>
        <v>1</v>
      </c>
      <c r="K11" s="13" t="n">
        <f aca="false">1</f>
        <v>1</v>
      </c>
      <c r="L11" s="13" t="n">
        <f aca="false">1</f>
        <v>1</v>
      </c>
      <c r="N11" s="12" t="n">
        <v>4</v>
      </c>
      <c r="O11" s="13" t="n">
        <f aca="false">IF(O$7&gt;=ROUNDUP($N11/2,0),1,0)</f>
        <v>0</v>
      </c>
      <c r="P11" s="13" t="n">
        <f aca="false">IF(P$7&gt;=ROUNDUP($N11/2,0),1,0)</f>
        <v>1</v>
      </c>
      <c r="Q11" s="13" t="n">
        <f aca="false">IF(Q$7&gt;=ROUNDUP($N11/2,0),1,0)</f>
        <v>1</v>
      </c>
      <c r="R11" s="13" t="n">
        <f aca="false">IF(R$7&gt;=ROUNDUP($N11/2,0),1,0)</f>
        <v>1</v>
      </c>
      <c r="S11" s="13" t="n">
        <f aca="false">IF(S$7&gt;=ROUNDUP($N11/2,0),1,0)</f>
        <v>1</v>
      </c>
      <c r="T11" s="13" t="n">
        <f aca="false">IF(T$7&gt;=ROUNDUP($N11/2,0),1,0)</f>
        <v>1</v>
      </c>
      <c r="U11" s="13" t="n">
        <f aca="false">IF(U$7&gt;=ROUNDUP($N11/2,0),1,0)</f>
        <v>1</v>
      </c>
      <c r="V11" s="13" t="n">
        <f aca="false">IF(V$7&gt;=ROUNDUP($N11/2,0),1,0)</f>
        <v>1</v>
      </c>
      <c r="W11" s="13" t="n">
        <f aca="false">IF(W$7&gt;=ROUNDUP($N11/2,0),1,0)</f>
        <v>1</v>
      </c>
      <c r="X11" s="13" t="n">
        <f aca="false">IF(X$7&gt;=ROUNDUP($N11/2,0),1,0)</f>
        <v>1</v>
      </c>
      <c r="Z11" s="12" t="n">
        <v>4</v>
      </c>
      <c r="AA11" s="13" t="n">
        <f aca="false">IF(AA$7=ROUNDUP($Z11/2,0),1,0)</f>
        <v>0</v>
      </c>
      <c r="AB11" s="13" t="n">
        <f aca="false">IF(AB$7=ROUNDUP($Z11/2,0),1,0)</f>
        <v>1</v>
      </c>
      <c r="AC11" s="13" t="n">
        <f aca="false">IF(AC$7=ROUNDUP($Z11/2,0),1,0)</f>
        <v>0</v>
      </c>
      <c r="AD11" s="13" t="n">
        <f aca="false">IF(AD$7=ROUNDUP($Z11/2,0),1,0)</f>
        <v>0</v>
      </c>
      <c r="AE11" s="13" t="n">
        <f aca="false">IF(AE$7=ROUNDUP($Z11/2,0),1,0)</f>
        <v>0</v>
      </c>
      <c r="AF11" s="13" t="n">
        <f aca="false">IF(AF$7=ROUNDUP($Z11/2,0),1,0)</f>
        <v>0</v>
      </c>
      <c r="AG11" s="13" t="n">
        <f aca="false">IF(AG$7=ROUNDUP($Z11/2,0),1,0)</f>
        <v>0</v>
      </c>
      <c r="AH11" s="13" t="n">
        <f aca="false">IF(AH$7=ROUNDUP($Z11/2,0),1,0)</f>
        <v>0</v>
      </c>
      <c r="AI11" s="13" t="n">
        <f aca="false">IF(AI$7=ROUNDUP($Z11/2,0),1,0)</f>
        <v>0</v>
      </c>
      <c r="AJ11" s="13" t="n">
        <f aca="false">IF(AJ$7=ROUNDUP($Z11/2,0),1,0)</f>
        <v>0</v>
      </c>
    </row>
    <row r="12" customFormat="false" ht="15" hidden="false" customHeight="false" outlineLevel="0" collapsed="false">
      <c r="B12" s="12" t="n">
        <v>5</v>
      </c>
      <c r="C12" s="13" t="n">
        <f aca="false">1</f>
        <v>1</v>
      </c>
      <c r="D12" s="13" t="n">
        <f aca="false">1</f>
        <v>1</v>
      </c>
      <c r="E12" s="13" t="n">
        <f aca="false">1</f>
        <v>1</v>
      </c>
      <c r="F12" s="13" t="n">
        <f aca="false">1</f>
        <v>1</v>
      </c>
      <c r="G12" s="13" t="n">
        <f aca="false">1</f>
        <v>1</v>
      </c>
      <c r="H12" s="13" t="n">
        <f aca="false">1</f>
        <v>1</v>
      </c>
      <c r="I12" s="13" t="n">
        <f aca="false">1</f>
        <v>1</v>
      </c>
      <c r="J12" s="13" t="n">
        <f aca="false">1</f>
        <v>1</v>
      </c>
      <c r="K12" s="13" t="n">
        <f aca="false">1</f>
        <v>1</v>
      </c>
      <c r="L12" s="13" t="n">
        <f aca="false">1</f>
        <v>1</v>
      </c>
      <c r="N12" s="12" t="n">
        <v>5</v>
      </c>
      <c r="O12" s="13" t="n">
        <f aca="false">IF(O$7&gt;=ROUNDUP($N12/2,0),1,0)</f>
        <v>0</v>
      </c>
      <c r="P12" s="13" t="n">
        <f aca="false">IF(P$7&gt;=ROUNDUP($N12/2,0),1,0)</f>
        <v>0</v>
      </c>
      <c r="Q12" s="13" t="n">
        <f aca="false">IF(Q$7&gt;=ROUNDUP($N12/2,0),1,0)</f>
        <v>1</v>
      </c>
      <c r="R12" s="13" t="n">
        <f aca="false">IF(R$7&gt;=ROUNDUP($N12/2,0),1,0)</f>
        <v>1</v>
      </c>
      <c r="S12" s="13" t="n">
        <f aca="false">IF(S$7&gt;=ROUNDUP($N12/2,0),1,0)</f>
        <v>1</v>
      </c>
      <c r="T12" s="13" t="n">
        <f aca="false">IF(T$7&gt;=ROUNDUP($N12/2,0),1,0)</f>
        <v>1</v>
      </c>
      <c r="U12" s="13" t="n">
        <f aca="false">IF(U$7&gt;=ROUNDUP($N12/2,0),1,0)</f>
        <v>1</v>
      </c>
      <c r="V12" s="13" t="n">
        <f aca="false">IF(V$7&gt;=ROUNDUP($N12/2,0),1,0)</f>
        <v>1</v>
      </c>
      <c r="W12" s="13" t="n">
        <f aca="false">IF(W$7&gt;=ROUNDUP($N12/2,0),1,0)</f>
        <v>1</v>
      </c>
      <c r="X12" s="13" t="n">
        <f aca="false">IF(X$7&gt;=ROUNDUP($N12/2,0),1,0)</f>
        <v>1</v>
      </c>
      <c r="Z12" s="12" t="n">
        <v>5</v>
      </c>
      <c r="AA12" s="13" t="n">
        <f aca="false">IF(AA$7=ROUNDUP($Z12/2,0),1,0)</f>
        <v>0</v>
      </c>
      <c r="AB12" s="13" t="n">
        <f aca="false">IF(AB$7=ROUNDUP($Z12/2,0),1,0)</f>
        <v>0</v>
      </c>
      <c r="AC12" s="13" t="n">
        <f aca="false">IF(AC$7=ROUNDUP($Z12/2,0),1,0)</f>
        <v>1</v>
      </c>
      <c r="AD12" s="13" t="n">
        <f aca="false">IF(AD$7=ROUNDUP($Z12/2,0),1,0)</f>
        <v>0</v>
      </c>
      <c r="AE12" s="13" t="n">
        <f aca="false">IF(AE$7=ROUNDUP($Z12/2,0),1,0)</f>
        <v>0</v>
      </c>
      <c r="AF12" s="13" t="n">
        <f aca="false">IF(AF$7=ROUNDUP($Z12/2,0),1,0)</f>
        <v>0</v>
      </c>
      <c r="AG12" s="13" t="n">
        <f aca="false">IF(AG$7=ROUNDUP($Z12/2,0),1,0)</f>
        <v>0</v>
      </c>
      <c r="AH12" s="13" t="n">
        <f aca="false">IF(AH$7=ROUNDUP($Z12/2,0),1,0)</f>
        <v>0</v>
      </c>
      <c r="AI12" s="13" t="n">
        <f aca="false">IF(AI$7=ROUNDUP($Z12/2,0),1,0)</f>
        <v>0</v>
      </c>
      <c r="AJ12" s="13" t="n">
        <f aca="false">IF(AJ$7=ROUNDUP($Z12/2,0),1,0)</f>
        <v>0</v>
      </c>
    </row>
    <row r="13" customFormat="false" ht="15" hidden="false" customHeight="false" outlineLevel="0" collapsed="false">
      <c r="B13" s="12" t="n">
        <v>6</v>
      </c>
      <c r="C13" s="13" t="n">
        <f aca="false">1</f>
        <v>1</v>
      </c>
      <c r="D13" s="13" t="n">
        <f aca="false">1</f>
        <v>1</v>
      </c>
      <c r="E13" s="13" t="n">
        <f aca="false">1</f>
        <v>1</v>
      </c>
      <c r="F13" s="13" t="n">
        <f aca="false">1</f>
        <v>1</v>
      </c>
      <c r="G13" s="13" t="n">
        <f aca="false">1</f>
        <v>1</v>
      </c>
      <c r="H13" s="13" t="n">
        <f aca="false">1</f>
        <v>1</v>
      </c>
      <c r="I13" s="13" t="n">
        <f aca="false">1</f>
        <v>1</v>
      </c>
      <c r="J13" s="13" t="n">
        <f aca="false">1</f>
        <v>1</v>
      </c>
      <c r="K13" s="13" t="n">
        <f aca="false">1</f>
        <v>1</v>
      </c>
      <c r="L13" s="13" t="n">
        <f aca="false">1</f>
        <v>1</v>
      </c>
      <c r="N13" s="12" t="n">
        <v>6</v>
      </c>
      <c r="O13" s="13" t="n">
        <f aca="false">IF(O$7&gt;=ROUNDUP($N13/2,0),1,0)</f>
        <v>0</v>
      </c>
      <c r="P13" s="13" t="n">
        <f aca="false">IF(P$7&gt;=ROUNDUP($N13/2,0),1,0)</f>
        <v>0</v>
      </c>
      <c r="Q13" s="13" t="n">
        <f aca="false">IF(Q$7&gt;=ROUNDUP($N13/2,0),1,0)</f>
        <v>1</v>
      </c>
      <c r="R13" s="13" t="n">
        <f aca="false">IF(R$7&gt;=ROUNDUP($N13/2,0),1,0)</f>
        <v>1</v>
      </c>
      <c r="S13" s="13" t="n">
        <f aca="false">IF(S$7&gt;=ROUNDUP($N13/2,0),1,0)</f>
        <v>1</v>
      </c>
      <c r="T13" s="13" t="n">
        <f aca="false">IF(T$7&gt;=ROUNDUP($N13/2,0),1,0)</f>
        <v>1</v>
      </c>
      <c r="U13" s="13" t="n">
        <f aca="false">IF(U$7&gt;=ROUNDUP($N13/2,0),1,0)</f>
        <v>1</v>
      </c>
      <c r="V13" s="13" t="n">
        <f aca="false">IF(V$7&gt;=ROUNDUP($N13/2,0),1,0)</f>
        <v>1</v>
      </c>
      <c r="W13" s="13" t="n">
        <f aca="false">IF(W$7&gt;=ROUNDUP($N13/2,0),1,0)</f>
        <v>1</v>
      </c>
      <c r="X13" s="13" t="n">
        <f aca="false">IF(X$7&gt;=ROUNDUP($N13/2,0),1,0)</f>
        <v>1</v>
      </c>
      <c r="Z13" s="12" t="n">
        <v>6</v>
      </c>
      <c r="AA13" s="13" t="n">
        <f aca="false">IF(AA$7=ROUNDUP($Z13/2,0),1,0)</f>
        <v>0</v>
      </c>
      <c r="AB13" s="13" t="n">
        <f aca="false">IF(AB$7=ROUNDUP($Z13/2,0),1,0)</f>
        <v>0</v>
      </c>
      <c r="AC13" s="13" t="n">
        <f aca="false">IF(AC$7=ROUNDUP($Z13/2,0),1,0)</f>
        <v>1</v>
      </c>
      <c r="AD13" s="13" t="n">
        <f aca="false">IF(AD$7=ROUNDUP($Z13/2,0),1,0)</f>
        <v>0</v>
      </c>
      <c r="AE13" s="13" t="n">
        <f aca="false">IF(AE$7=ROUNDUP($Z13/2,0),1,0)</f>
        <v>0</v>
      </c>
      <c r="AF13" s="13" t="n">
        <f aca="false">IF(AF$7=ROUNDUP($Z13/2,0),1,0)</f>
        <v>0</v>
      </c>
      <c r="AG13" s="13" t="n">
        <f aca="false">IF(AG$7=ROUNDUP($Z13/2,0),1,0)</f>
        <v>0</v>
      </c>
      <c r="AH13" s="13" t="n">
        <f aca="false">IF(AH$7=ROUNDUP($Z13/2,0),1,0)</f>
        <v>0</v>
      </c>
      <c r="AI13" s="13" t="n">
        <f aca="false">IF(AI$7=ROUNDUP($Z13/2,0),1,0)</f>
        <v>0</v>
      </c>
      <c r="AJ13" s="13" t="n">
        <f aca="false">IF(AJ$7=ROUNDUP($Z13/2,0),1,0)</f>
        <v>0</v>
      </c>
    </row>
    <row r="14" customFormat="false" ht="15" hidden="false" customHeight="false" outlineLevel="0" collapsed="false">
      <c r="B14" s="12" t="n">
        <v>7</v>
      </c>
      <c r="C14" s="13" t="n">
        <f aca="false">1</f>
        <v>1</v>
      </c>
      <c r="D14" s="13" t="n">
        <f aca="false">1</f>
        <v>1</v>
      </c>
      <c r="E14" s="13" t="n">
        <f aca="false">1</f>
        <v>1</v>
      </c>
      <c r="F14" s="13" t="n">
        <f aca="false">1</f>
        <v>1</v>
      </c>
      <c r="G14" s="13" t="n">
        <f aca="false">1</f>
        <v>1</v>
      </c>
      <c r="H14" s="13" t="n">
        <f aca="false">1</f>
        <v>1</v>
      </c>
      <c r="I14" s="13" t="n">
        <f aca="false">1</f>
        <v>1</v>
      </c>
      <c r="J14" s="13" t="n">
        <f aca="false">1</f>
        <v>1</v>
      </c>
      <c r="K14" s="13" t="n">
        <f aca="false">1</f>
        <v>1</v>
      </c>
      <c r="L14" s="13" t="n">
        <f aca="false">1</f>
        <v>1</v>
      </c>
      <c r="N14" s="12" t="n">
        <v>7</v>
      </c>
      <c r="O14" s="13" t="n">
        <f aca="false">IF(O$7&gt;=ROUNDUP($N14/2,0),1,0)</f>
        <v>0</v>
      </c>
      <c r="P14" s="13" t="n">
        <f aca="false">IF(P$7&gt;=ROUNDUP($N14/2,0),1,0)</f>
        <v>0</v>
      </c>
      <c r="Q14" s="13" t="n">
        <f aca="false">IF(Q$7&gt;=ROUNDUP($N14/2,0),1,0)</f>
        <v>0</v>
      </c>
      <c r="R14" s="13" t="n">
        <f aca="false">IF(R$7&gt;=ROUNDUP($N14/2,0),1,0)</f>
        <v>1</v>
      </c>
      <c r="S14" s="13" t="n">
        <f aca="false">IF(S$7&gt;=ROUNDUP($N14/2,0),1,0)</f>
        <v>1</v>
      </c>
      <c r="T14" s="13" t="n">
        <f aca="false">IF(T$7&gt;=ROUNDUP($N14/2,0),1,0)</f>
        <v>1</v>
      </c>
      <c r="U14" s="13" t="n">
        <f aca="false">IF(U$7&gt;=ROUNDUP($N14/2,0),1,0)</f>
        <v>1</v>
      </c>
      <c r="V14" s="13" t="n">
        <f aca="false">IF(V$7&gt;=ROUNDUP($N14/2,0),1,0)</f>
        <v>1</v>
      </c>
      <c r="W14" s="13" t="n">
        <f aca="false">IF(W$7&gt;=ROUNDUP($N14/2,0),1,0)</f>
        <v>1</v>
      </c>
      <c r="X14" s="13" t="n">
        <f aca="false">IF(X$7&gt;=ROUNDUP($N14/2,0),1,0)</f>
        <v>1</v>
      </c>
      <c r="Z14" s="12" t="n">
        <v>7</v>
      </c>
      <c r="AA14" s="13" t="n">
        <f aca="false">IF(AA$7=ROUNDUP($Z14/2,0),1,0)</f>
        <v>0</v>
      </c>
      <c r="AB14" s="13" t="n">
        <f aca="false">IF(AB$7=ROUNDUP($Z14/2,0),1,0)</f>
        <v>0</v>
      </c>
      <c r="AC14" s="13" t="n">
        <f aca="false">IF(AC$7=ROUNDUP($Z14/2,0),1,0)</f>
        <v>0</v>
      </c>
      <c r="AD14" s="13" t="n">
        <f aca="false">IF(AD$7=ROUNDUP($Z14/2,0),1,0)</f>
        <v>1</v>
      </c>
      <c r="AE14" s="13" t="n">
        <f aca="false">IF(AE$7=ROUNDUP($Z14/2,0),1,0)</f>
        <v>0</v>
      </c>
      <c r="AF14" s="13" t="n">
        <f aca="false">IF(AF$7=ROUNDUP($Z14/2,0),1,0)</f>
        <v>0</v>
      </c>
      <c r="AG14" s="13" t="n">
        <f aca="false">IF(AG$7=ROUNDUP($Z14/2,0),1,0)</f>
        <v>0</v>
      </c>
      <c r="AH14" s="13" t="n">
        <f aca="false">IF(AH$7=ROUNDUP($Z14/2,0),1,0)</f>
        <v>0</v>
      </c>
      <c r="AI14" s="13" t="n">
        <f aca="false">IF(AI$7=ROUNDUP($Z14/2,0),1,0)</f>
        <v>0</v>
      </c>
      <c r="AJ14" s="13" t="n">
        <f aca="false">IF(AJ$7=ROUNDUP($Z14/2,0),1,0)</f>
        <v>0</v>
      </c>
    </row>
    <row r="15" customFormat="false" ht="15" hidden="false" customHeight="false" outlineLevel="0" collapsed="false">
      <c r="B15" s="12" t="n">
        <v>8</v>
      </c>
      <c r="C15" s="13" t="n">
        <f aca="false">1</f>
        <v>1</v>
      </c>
      <c r="D15" s="13" t="n">
        <f aca="false">1</f>
        <v>1</v>
      </c>
      <c r="E15" s="13" t="n">
        <f aca="false">1</f>
        <v>1</v>
      </c>
      <c r="F15" s="13" t="n">
        <f aca="false">1</f>
        <v>1</v>
      </c>
      <c r="G15" s="13" t="n">
        <f aca="false">1</f>
        <v>1</v>
      </c>
      <c r="H15" s="13" t="n">
        <f aca="false">1</f>
        <v>1</v>
      </c>
      <c r="I15" s="13" t="n">
        <f aca="false">1</f>
        <v>1</v>
      </c>
      <c r="J15" s="13" t="n">
        <f aca="false">1</f>
        <v>1</v>
      </c>
      <c r="K15" s="13" t="n">
        <f aca="false">1</f>
        <v>1</v>
      </c>
      <c r="L15" s="13" t="n">
        <f aca="false">1</f>
        <v>1</v>
      </c>
      <c r="N15" s="12" t="n">
        <v>8</v>
      </c>
      <c r="O15" s="13" t="n">
        <f aca="false">IF(O$7&gt;=ROUNDUP($N15/2,0),1,0)</f>
        <v>0</v>
      </c>
      <c r="P15" s="13" t="n">
        <f aca="false">IF(P$7&gt;=ROUNDUP($N15/2,0),1,0)</f>
        <v>0</v>
      </c>
      <c r="Q15" s="13" t="n">
        <f aca="false">IF(Q$7&gt;=ROUNDUP($N15/2,0),1,0)</f>
        <v>0</v>
      </c>
      <c r="R15" s="13" t="n">
        <f aca="false">IF(R$7&gt;=ROUNDUP($N15/2,0),1,0)</f>
        <v>1</v>
      </c>
      <c r="S15" s="13" t="n">
        <f aca="false">IF(S$7&gt;=ROUNDUP($N15/2,0),1,0)</f>
        <v>1</v>
      </c>
      <c r="T15" s="13" t="n">
        <f aca="false">IF(T$7&gt;=ROUNDUP($N15/2,0),1,0)</f>
        <v>1</v>
      </c>
      <c r="U15" s="13" t="n">
        <f aca="false">IF(U$7&gt;=ROUNDUP($N15/2,0),1,0)</f>
        <v>1</v>
      </c>
      <c r="V15" s="13" t="n">
        <f aca="false">IF(V$7&gt;=ROUNDUP($N15/2,0),1,0)</f>
        <v>1</v>
      </c>
      <c r="W15" s="13" t="n">
        <f aca="false">IF(W$7&gt;=ROUNDUP($N15/2,0),1,0)</f>
        <v>1</v>
      </c>
      <c r="X15" s="13" t="n">
        <f aca="false">IF(X$7&gt;=ROUNDUP($N15/2,0),1,0)</f>
        <v>1</v>
      </c>
      <c r="Z15" s="12" t="n">
        <v>8</v>
      </c>
      <c r="AA15" s="13" t="n">
        <f aca="false">IF(AA$7=ROUNDUP($Z15/2,0),1,0)</f>
        <v>0</v>
      </c>
      <c r="AB15" s="13" t="n">
        <f aca="false">IF(AB$7=ROUNDUP($Z15/2,0),1,0)</f>
        <v>0</v>
      </c>
      <c r="AC15" s="13" t="n">
        <f aca="false">IF(AC$7=ROUNDUP($Z15/2,0),1,0)</f>
        <v>0</v>
      </c>
      <c r="AD15" s="13" t="n">
        <f aca="false">IF(AD$7=ROUNDUP($Z15/2,0),1,0)</f>
        <v>1</v>
      </c>
      <c r="AE15" s="13" t="n">
        <f aca="false">IF(AE$7=ROUNDUP($Z15/2,0),1,0)</f>
        <v>0</v>
      </c>
      <c r="AF15" s="13" t="n">
        <f aca="false">IF(AF$7=ROUNDUP($Z15/2,0),1,0)</f>
        <v>0</v>
      </c>
      <c r="AG15" s="13" t="n">
        <f aca="false">IF(AG$7=ROUNDUP($Z15/2,0),1,0)</f>
        <v>0</v>
      </c>
      <c r="AH15" s="13" t="n">
        <f aca="false">IF(AH$7=ROUNDUP($Z15/2,0),1,0)</f>
        <v>0</v>
      </c>
      <c r="AI15" s="13" t="n">
        <f aca="false">IF(AI$7=ROUNDUP($Z15/2,0),1,0)</f>
        <v>0</v>
      </c>
      <c r="AJ15" s="13" t="n">
        <f aca="false">IF(AJ$7=ROUNDUP($Z15/2,0),1,0)</f>
        <v>0</v>
      </c>
    </row>
    <row r="16" customFormat="false" ht="15" hidden="false" customHeight="false" outlineLevel="0" collapsed="false">
      <c r="B16" s="12" t="n">
        <v>9</v>
      </c>
      <c r="C16" s="13" t="n">
        <f aca="false">1</f>
        <v>1</v>
      </c>
      <c r="D16" s="13" t="n">
        <f aca="false">1</f>
        <v>1</v>
      </c>
      <c r="E16" s="13" t="n">
        <f aca="false">1</f>
        <v>1</v>
      </c>
      <c r="F16" s="13" t="n">
        <f aca="false">1</f>
        <v>1</v>
      </c>
      <c r="G16" s="13" t="n">
        <f aca="false">1</f>
        <v>1</v>
      </c>
      <c r="H16" s="13" t="n">
        <f aca="false">1</f>
        <v>1</v>
      </c>
      <c r="I16" s="13" t="n">
        <f aca="false">1</f>
        <v>1</v>
      </c>
      <c r="J16" s="13" t="n">
        <f aca="false">1</f>
        <v>1</v>
      </c>
      <c r="K16" s="13" t="n">
        <f aca="false">1</f>
        <v>1</v>
      </c>
      <c r="L16" s="13" t="n">
        <f aca="false">1</f>
        <v>1</v>
      </c>
      <c r="N16" s="12" t="n">
        <v>9</v>
      </c>
      <c r="O16" s="13" t="n">
        <f aca="false">IF(O$7&gt;=ROUNDUP($N16/2,0),1,0)</f>
        <v>0</v>
      </c>
      <c r="P16" s="13" t="n">
        <f aca="false">IF(P$7&gt;=ROUNDUP($N16/2,0),1,0)</f>
        <v>0</v>
      </c>
      <c r="Q16" s="13" t="n">
        <f aca="false">IF(Q$7&gt;=ROUNDUP($N16/2,0),1,0)</f>
        <v>0</v>
      </c>
      <c r="R16" s="13" t="n">
        <f aca="false">IF(R$7&gt;=ROUNDUP($N16/2,0),1,0)</f>
        <v>0</v>
      </c>
      <c r="S16" s="13" t="n">
        <f aca="false">IF(S$7&gt;=ROUNDUP($N16/2,0),1,0)</f>
        <v>1</v>
      </c>
      <c r="T16" s="13" t="n">
        <f aca="false">IF(T$7&gt;=ROUNDUP($N16/2,0),1,0)</f>
        <v>1</v>
      </c>
      <c r="U16" s="13" t="n">
        <f aca="false">IF(U$7&gt;=ROUNDUP($N16/2,0),1,0)</f>
        <v>1</v>
      </c>
      <c r="V16" s="13" t="n">
        <f aca="false">IF(V$7&gt;=ROUNDUP($N16/2,0),1,0)</f>
        <v>1</v>
      </c>
      <c r="W16" s="13" t="n">
        <f aca="false">IF(W$7&gt;=ROUNDUP($N16/2,0),1,0)</f>
        <v>1</v>
      </c>
      <c r="X16" s="13" t="n">
        <f aca="false">IF(X$7&gt;=ROUNDUP($N16/2,0),1,0)</f>
        <v>1</v>
      </c>
      <c r="Z16" s="12" t="n">
        <v>9</v>
      </c>
      <c r="AA16" s="13" t="n">
        <f aca="false">IF(AA$7=ROUNDUP($Z16/2,0),1,0)</f>
        <v>0</v>
      </c>
      <c r="AB16" s="13" t="n">
        <f aca="false">IF(AB$7=ROUNDUP($Z16/2,0),1,0)</f>
        <v>0</v>
      </c>
      <c r="AC16" s="13" t="n">
        <f aca="false">IF(AC$7=ROUNDUP($Z16/2,0),1,0)</f>
        <v>0</v>
      </c>
      <c r="AD16" s="13" t="n">
        <f aca="false">IF(AD$7=ROUNDUP($Z16/2,0),1,0)</f>
        <v>0</v>
      </c>
      <c r="AE16" s="13" t="n">
        <f aca="false">IF(AE$7=ROUNDUP($Z16/2,0),1,0)</f>
        <v>1</v>
      </c>
      <c r="AF16" s="13" t="n">
        <f aca="false">IF(AF$7=ROUNDUP($Z16/2,0),1,0)</f>
        <v>0</v>
      </c>
      <c r="AG16" s="13" t="n">
        <f aca="false">IF(AG$7=ROUNDUP($Z16/2,0),1,0)</f>
        <v>0</v>
      </c>
      <c r="AH16" s="13" t="n">
        <f aca="false">IF(AH$7=ROUNDUP($Z16/2,0),1,0)</f>
        <v>0</v>
      </c>
      <c r="AI16" s="13" t="n">
        <f aca="false">IF(AI$7=ROUNDUP($Z16/2,0),1,0)</f>
        <v>0</v>
      </c>
      <c r="AJ16" s="13" t="n">
        <f aca="false">IF(AJ$7=ROUNDUP($Z16/2,0),1,0)</f>
        <v>0</v>
      </c>
    </row>
    <row r="17" customFormat="false" ht="15" hidden="false" customHeight="false" outlineLevel="0" collapsed="false">
      <c r="B17" s="12" t="n">
        <v>10</v>
      </c>
      <c r="C17" s="13" t="n">
        <f aca="false">1</f>
        <v>1</v>
      </c>
      <c r="D17" s="13" t="n">
        <f aca="false">1</f>
        <v>1</v>
      </c>
      <c r="E17" s="13" t="n">
        <f aca="false">1</f>
        <v>1</v>
      </c>
      <c r="F17" s="13" t="n">
        <f aca="false">1</f>
        <v>1</v>
      </c>
      <c r="G17" s="13" t="n">
        <f aca="false">1</f>
        <v>1</v>
      </c>
      <c r="H17" s="13" t="n">
        <f aca="false">1</f>
        <v>1</v>
      </c>
      <c r="I17" s="13" t="n">
        <f aca="false">1</f>
        <v>1</v>
      </c>
      <c r="J17" s="13" t="n">
        <f aca="false">1</f>
        <v>1</v>
      </c>
      <c r="K17" s="13" t="n">
        <f aca="false">1</f>
        <v>1</v>
      </c>
      <c r="L17" s="13" t="n">
        <f aca="false">1</f>
        <v>1</v>
      </c>
      <c r="N17" s="12" t="n">
        <v>10</v>
      </c>
      <c r="O17" s="13" t="n">
        <f aca="false">IF(O$7&gt;=ROUNDUP($N17/2,0),1,0)</f>
        <v>0</v>
      </c>
      <c r="P17" s="13" t="n">
        <f aca="false">IF(P$7&gt;=ROUNDUP($N17/2,0),1,0)</f>
        <v>0</v>
      </c>
      <c r="Q17" s="13" t="n">
        <f aca="false">IF(Q$7&gt;=ROUNDUP($N17/2,0),1,0)</f>
        <v>0</v>
      </c>
      <c r="R17" s="13" t="n">
        <f aca="false">IF(R$7&gt;=ROUNDUP($N17/2,0),1,0)</f>
        <v>0</v>
      </c>
      <c r="S17" s="13" t="n">
        <f aca="false">IF(S$7&gt;=ROUNDUP($N17/2,0),1,0)</f>
        <v>1</v>
      </c>
      <c r="T17" s="13" t="n">
        <f aca="false">IF(T$7&gt;=ROUNDUP($N17/2,0),1,0)</f>
        <v>1</v>
      </c>
      <c r="U17" s="13" t="n">
        <f aca="false">IF(U$7&gt;=ROUNDUP($N17/2,0),1,0)</f>
        <v>1</v>
      </c>
      <c r="V17" s="13" t="n">
        <f aca="false">IF(V$7&gt;=ROUNDUP($N17/2,0),1,0)</f>
        <v>1</v>
      </c>
      <c r="W17" s="13" t="n">
        <f aca="false">IF(W$7&gt;=ROUNDUP($N17/2,0),1,0)</f>
        <v>1</v>
      </c>
      <c r="X17" s="13" t="n">
        <f aca="false">IF(X$7&gt;=ROUNDUP($N17/2,0),1,0)</f>
        <v>1</v>
      </c>
      <c r="Z17" s="12" t="n">
        <v>10</v>
      </c>
      <c r="AA17" s="13" t="n">
        <f aca="false">IF(AA$7=ROUNDUP($Z17/2,0),1,0)</f>
        <v>0</v>
      </c>
      <c r="AB17" s="13" t="n">
        <f aca="false">IF(AB$7=ROUNDUP($Z17/2,0),1,0)</f>
        <v>0</v>
      </c>
      <c r="AC17" s="13" t="n">
        <f aca="false">IF(AC$7=ROUNDUP($Z17/2,0),1,0)</f>
        <v>0</v>
      </c>
      <c r="AD17" s="13" t="n">
        <f aca="false">IF(AD$7=ROUNDUP($Z17/2,0),1,0)</f>
        <v>0</v>
      </c>
      <c r="AE17" s="13" t="n">
        <f aca="false">IF(AE$7=ROUNDUP($Z17/2,0),1,0)</f>
        <v>1</v>
      </c>
      <c r="AF17" s="13" t="n">
        <f aca="false">IF(AF$7=ROUNDUP($Z17/2,0),1,0)</f>
        <v>0</v>
      </c>
      <c r="AG17" s="13" t="n">
        <f aca="false">IF(AG$7=ROUNDUP($Z17/2,0),1,0)</f>
        <v>0</v>
      </c>
      <c r="AH17" s="13" t="n">
        <f aca="false">IF(AH$7=ROUNDUP($Z17/2,0),1,0)</f>
        <v>0</v>
      </c>
      <c r="AI17" s="13" t="n">
        <f aca="false">IF(AI$7=ROUNDUP($Z17/2,0),1,0)</f>
        <v>0</v>
      </c>
      <c r="AJ17" s="13" t="n">
        <f aca="false">IF(AJ$7=ROUNDUP($Z17/2,0),1,0)</f>
        <v>0</v>
      </c>
    </row>
    <row r="18" customFormat="false" ht="15" hidden="false" customHeight="false" outlineLevel="0" collapsed="false">
      <c r="B18" s="12" t="n">
        <v>11</v>
      </c>
      <c r="C18" s="13" t="n">
        <f aca="false">1</f>
        <v>1</v>
      </c>
      <c r="D18" s="13" t="n">
        <f aca="false">1</f>
        <v>1</v>
      </c>
      <c r="E18" s="13" t="n">
        <f aca="false">1</f>
        <v>1</v>
      </c>
      <c r="F18" s="13" t="n">
        <f aca="false">1</f>
        <v>1</v>
      </c>
      <c r="G18" s="13" t="n">
        <f aca="false">1</f>
        <v>1</v>
      </c>
      <c r="H18" s="13" t="n">
        <f aca="false">1</f>
        <v>1</v>
      </c>
      <c r="I18" s="13" t="n">
        <f aca="false">1</f>
        <v>1</v>
      </c>
      <c r="J18" s="13" t="n">
        <f aca="false">1</f>
        <v>1</v>
      </c>
      <c r="K18" s="13" t="n">
        <f aca="false">1</f>
        <v>1</v>
      </c>
      <c r="L18" s="13" t="n">
        <f aca="false">1</f>
        <v>1</v>
      </c>
      <c r="N18" s="12" t="n">
        <v>11</v>
      </c>
      <c r="O18" s="13" t="n">
        <f aca="false">IF(O$7&gt;=ROUNDUP($N18/2,0),1,0)</f>
        <v>0</v>
      </c>
      <c r="P18" s="13" t="n">
        <f aca="false">IF(P$7&gt;=ROUNDUP($N18/2,0),1,0)</f>
        <v>0</v>
      </c>
      <c r="Q18" s="13" t="n">
        <f aca="false">IF(Q$7&gt;=ROUNDUP($N18/2,0),1,0)</f>
        <v>0</v>
      </c>
      <c r="R18" s="13" t="n">
        <f aca="false">IF(R$7&gt;=ROUNDUP($N18/2,0),1,0)</f>
        <v>0</v>
      </c>
      <c r="S18" s="13" t="n">
        <f aca="false">IF(S$7&gt;=ROUNDUP($N18/2,0),1,0)</f>
        <v>0</v>
      </c>
      <c r="T18" s="13" t="n">
        <f aca="false">IF(T$7&gt;=ROUNDUP($N18/2,0),1,0)</f>
        <v>1</v>
      </c>
      <c r="U18" s="13" t="n">
        <f aca="false">IF(U$7&gt;=ROUNDUP($N18/2,0),1,0)</f>
        <v>1</v>
      </c>
      <c r="V18" s="13" t="n">
        <f aca="false">IF(V$7&gt;=ROUNDUP($N18/2,0),1,0)</f>
        <v>1</v>
      </c>
      <c r="W18" s="13" t="n">
        <f aca="false">IF(W$7&gt;=ROUNDUP($N18/2,0),1,0)</f>
        <v>1</v>
      </c>
      <c r="X18" s="13" t="n">
        <f aca="false">IF(X$7&gt;=ROUNDUP($N18/2,0),1,0)</f>
        <v>1</v>
      </c>
      <c r="Z18" s="12" t="n">
        <v>11</v>
      </c>
      <c r="AA18" s="13" t="n">
        <f aca="false">IF(AA$7=ROUNDUP($Z18/2,0),1,0)</f>
        <v>0</v>
      </c>
      <c r="AB18" s="13" t="n">
        <f aca="false">IF(AB$7=ROUNDUP($Z18/2,0),1,0)</f>
        <v>0</v>
      </c>
      <c r="AC18" s="13" t="n">
        <f aca="false">IF(AC$7=ROUNDUP($Z18/2,0),1,0)</f>
        <v>0</v>
      </c>
      <c r="AD18" s="13" t="n">
        <f aca="false">IF(AD$7=ROUNDUP($Z18/2,0),1,0)</f>
        <v>0</v>
      </c>
      <c r="AE18" s="13" t="n">
        <f aca="false">IF(AE$7=ROUNDUP($Z18/2,0),1,0)</f>
        <v>0</v>
      </c>
      <c r="AF18" s="13" t="n">
        <f aca="false">IF(AF$7=ROUNDUP($Z18/2,0),1,0)</f>
        <v>1</v>
      </c>
      <c r="AG18" s="13" t="n">
        <f aca="false">IF(AG$7=ROUNDUP($Z18/2,0),1,0)</f>
        <v>0</v>
      </c>
      <c r="AH18" s="13" t="n">
        <f aca="false">IF(AH$7=ROUNDUP($Z18/2,0),1,0)</f>
        <v>0</v>
      </c>
      <c r="AI18" s="13" t="n">
        <f aca="false">IF(AI$7=ROUNDUP($Z18/2,0),1,0)</f>
        <v>0</v>
      </c>
      <c r="AJ18" s="13" t="n">
        <f aca="false">IF(AJ$7=ROUNDUP($Z18/2,0),1,0)</f>
        <v>0</v>
      </c>
    </row>
    <row r="19" customFormat="false" ht="15" hidden="false" customHeight="false" outlineLevel="0" collapsed="false">
      <c r="B19" s="12" t="n">
        <v>12</v>
      </c>
      <c r="C19" s="13" t="n">
        <f aca="false">1</f>
        <v>1</v>
      </c>
      <c r="D19" s="13" t="n">
        <f aca="false">1</f>
        <v>1</v>
      </c>
      <c r="E19" s="13" t="n">
        <f aca="false">1</f>
        <v>1</v>
      </c>
      <c r="F19" s="13" t="n">
        <f aca="false">1</f>
        <v>1</v>
      </c>
      <c r="G19" s="13" t="n">
        <f aca="false">1</f>
        <v>1</v>
      </c>
      <c r="H19" s="13" t="n">
        <f aca="false">1</f>
        <v>1</v>
      </c>
      <c r="I19" s="13" t="n">
        <f aca="false">1</f>
        <v>1</v>
      </c>
      <c r="J19" s="13" t="n">
        <f aca="false">1</f>
        <v>1</v>
      </c>
      <c r="K19" s="13" t="n">
        <f aca="false">1</f>
        <v>1</v>
      </c>
      <c r="L19" s="13" t="n">
        <f aca="false">1</f>
        <v>1</v>
      </c>
      <c r="N19" s="12" t="n">
        <v>12</v>
      </c>
      <c r="O19" s="13" t="n">
        <f aca="false">IF(O$7&gt;=ROUNDUP($N19/2,0),1,0)</f>
        <v>0</v>
      </c>
      <c r="P19" s="13" t="n">
        <f aca="false">IF(P$7&gt;=ROUNDUP($N19/2,0),1,0)</f>
        <v>0</v>
      </c>
      <c r="Q19" s="13" t="n">
        <f aca="false">IF(Q$7&gt;=ROUNDUP($N19/2,0),1,0)</f>
        <v>0</v>
      </c>
      <c r="R19" s="13" t="n">
        <f aca="false">IF(R$7&gt;=ROUNDUP($N19/2,0),1,0)</f>
        <v>0</v>
      </c>
      <c r="S19" s="13" t="n">
        <f aca="false">IF(S$7&gt;=ROUNDUP($N19/2,0),1,0)</f>
        <v>0</v>
      </c>
      <c r="T19" s="13" t="n">
        <f aca="false">IF(T$7&gt;=ROUNDUP($N19/2,0),1,0)</f>
        <v>1</v>
      </c>
      <c r="U19" s="13" t="n">
        <f aca="false">IF(U$7&gt;=ROUNDUP($N19/2,0),1,0)</f>
        <v>1</v>
      </c>
      <c r="V19" s="13" t="n">
        <f aca="false">IF(V$7&gt;=ROUNDUP($N19/2,0),1,0)</f>
        <v>1</v>
      </c>
      <c r="W19" s="13" t="n">
        <f aca="false">IF(W$7&gt;=ROUNDUP($N19/2,0),1,0)</f>
        <v>1</v>
      </c>
      <c r="X19" s="13" t="n">
        <f aca="false">IF(X$7&gt;=ROUNDUP($N19/2,0),1,0)</f>
        <v>1</v>
      </c>
      <c r="Z19" s="12" t="n">
        <v>12</v>
      </c>
      <c r="AA19" s="13" t="n">
        <f aca="false">IF(AA$7=ROUNDUP($Z19/2,0),1,0)</f>
        <v>0</v>
      </c>
      <c r="AB19" s="13" t="n">
        <f aca="false">IF(AB$7=ROUNDUP($Z19/2,0),1,0)</f>
        <v>0</v>
      </c>
      <c r="AC19" s="13" t="n">
        <f aca="false">IF(AC$7=ROUNDUP($Z19/2,0),1,0)</f>
        <v>0</v>
      </c>
      <c r="AD19" s="13" t="n">
        <f aca="false">IF(AD$7=ROUNDUP($Z19/2,0),1,0)</f>
        <v>0</v>
      </c>
      <c r="AE19" s="13" t="n">
        <f aca="false">IF(AE$7=ROUNDUP($Z19/2,0),1,0)</f>
        <v>0</v>
      </c>
      <c r="AF19" s="13" t="n">
        <f aca="false">IF(AF$7=ROUNDUP($Z19/2,0),1,0)</f>
        <v>1</v>
      </c>
      <c r="AG19" s="13" t="n">
        <f aca="false">IF(AG$7=ROUNDUP($Z19/2,0),1,0)</f>
        <v>0</v>
      </c>
      <c r="AH19" s="13" t="n">
        <f aca="false">IF(AH$7=ROUNDUP($Z19/2,0),1,0)</f>
        <v>0</v>
      </c>
      <c r="AI19" s="13" t="n">
        <f aca="false">IF(AI$7=ROUNDUP($Z19/2,0),1,0)</f>
        <v>0</v>
      </c>
      <c r="AJ19" s="13" t="n">
        <f aca="false">IF(AJ$7=ROUNDUP($Z19/2,0),1,0)</f>
        <v>0</v>
      </c>
    </row>
    <row r="20" customFormat="false" ht="15" hidden="false" customHeight="false" outlineLevel="0" collapsed="false">
      <c r="B20" s="12" t="n">
        <v>13</v>
      </c>
      <c r="C20" s="13" t="n">
        <f aca="false">1</f>
        <v>1</v>
      </c>
      <c r="D20" s="13" t="n">
        <f aca="false">1</f>
        <v>1</v>
      </c>
      <c r="E20" s="13" t="n">
        <f aca="false">1</f>
        <v>1</v>
      </c>
      <c r="F20" s="13" t="n">
        <f aca="false">1</f>
        <v>1</v>
      </c>
      <c r="G20" s="13" t="n">
        <f aca="false">1</f>
        <v>1</v>
      </c>
      <c r="H20" s="13" t="n">
        <f aca="false">1</f>
        <v>1</v>
      </c>
      <c r="I20" s="13" t="n">
        <f aca="false">1</f>
        <v>1</v>
      </c>
      <c r="J20" s="13" t="n">
        <f aca="false">1</f>
        <v>1</v>
      </c>
      <c r="K20" s="13" t="n">
        <f aca="false">1</f>
        <v>1</v>
      </c>
      <c r="L20" s="13" t="n">
        <f aca="false">1</f>
        <v>1</v>
      </c>
      <c r="N20" s="12" t="n">
        <v>13</v>
      </c>
      <c r="O20" s="13" t="n">
        <f aca="false">IF(O$7&gt;=ROUNDUP($N20/2,0),1,0)</f>
        <v>0</v>
      </c>
      <c r="P20" s="13" t="n">
        <f aca="false">IF(P$7&gt;=ROUNDUP($N20/2,0),1,0)</f>
        <v>0</v>
      </c>
      <c r="Q20" s="13" t="n">
        <f aca="false">IF(Q$7&gt;=ROUNDUP($N20/2,0),1,0)</f>
        <v>0</v>
      </c>
      <c r="R20" s="13" t="n">
        <f aca="false">IF(R$7&gt;=ROUNDUP($N20/2,0),1,0)</f>
        <v>0</v>
      </c>
      <c r="S20" s="13" t="n">
        <f aca="false">IF(S$7&gt;=ROUNDUP($N20/2,0),1,0)</f>
        <v>0</v>
      </c>
      <c r="T20" s="13" t="n">
        <f aca="false">IF(T$7&gt;=ROUNDUP($N20/2,0),1,0)</f>
        <v>0</v>
      </c>
      <c r="U20" s="13" t="n">
        <f aca="false">IF(U$7&gt;=ROUNDUP($N20/2,0),1,0)</f>
        <v>1</v>
      </c>
      <c r="V20" s="13" t="n">
        <f aca="false">IF(V$7&gt;=ROUNDUP($N20/2,0),1,0)</f>
        <v>1</v>
      </c>
      <c r="W20" s="13" t="n">
        <f aca="false">IF(W$7&gt;=ROUNDUP($N20/2,0),1,0)</f>
        <v>1</v>
      </c>
      <c r="X20" s="13" t="n">
        <f aca="false">IF(X$7&gt;=ROUNDUP($N20/2,0),1,0)</f>
        <v>1</v>
      </c>
      <c r="Z20" s="12" t="n">
        <v>13</v>
      </c>
      <c r="AA20" s="13" t="n">
        <f aca="false">IF(AA$7=ROUNDUP($Z20/2,0),1,0)</f>
        <v>0</v>
      </c>
      <c r="AB20" s="13" t="n">
        <f aca="false">IF(AB$7=ROUNDUP($Z20/2,0),1,0)</f>
        <v>0</v>
      </c>
      <c r="AC20" s="13" t="n">
        <f aca="false">IF(AC$7=ROUNDUP($Z20/2,0),1,0)</f>
        <v>0</v>
      </c>
      <c r="AD20" s="13" t="n">
        <f aca="false">IF(AD$7=ROUNDUP($Z20/2,0),1,0)</f>
        <v>0</v>
      </c>
      <c r="AE20" s="13" t="n">
        <f aca="false">IF(AE$7=ROUNDUP($Z20/2,0),1,0)</f>
        <v>0</v>
      </c>
      <c r="AF20" s="13" t="n">
        <f aca="false">IF(AF$7=ROUNDUP($Z20/2,0),1,0)</f>
        <v>0</v>
      </c>
      <c r="AG20" s="13" t="n">
        <f aca="false">IF(AG$7=ROUNDUP($Z20/2,0),1,0)</f>
        <v>1</v>
      </c>
      <c r="AH20" s="13" t="n">
        <f aca="false">IF(AH$7=ROUNDUP($Z20/2,0),1,0)</f>
        <v>0</v>
      </c>
      <c r="AI20" s="13" t="n">
        <f aca="false">IF(AI$7=ROUNDUP($Z20/2,0),1,0)</f>
        <v>0</v>
      </c>
      <c r="AJ20" s="13" t="n">
        <f aca="false">IF(AJ$7=ROUNDUP($Z20/2,0),1,0)</f>
        <v>0</v>
      </c>
    </row>
    <row r="21" customFormat="false" ht="15" hidden="false" customHeight="false" outlineLevel="0" collapsed="false">
      <c r="B21" s="12" t="n">
        <v>14</v>
      </c>
      <c r="C21" s="13" t="n">
        <f aca="false">1</f>
        <v>1</v>
      </c>
      <c r="D21" s="13" t="n">
        <f aca="false">1</f>
        <v>1</v>
      </c>
      <c r="E21" s="13" t="n">
        <f aca="false">1</f>
        <v>1</v>
      </c>
      <c r="F21" s="13" t="n">
        <f aca="false">1</f>
        <v>1</v>
      </c>
      <c r="G21" s="13" t="n">
        <f aca="false">1</f>
        <v>1</v>
      </c>
      <c r="H21" s="13" t="n">
        <f aca="false">1</f>
        <v>1</v>
      </c>
      <c r="I21" s="13" t="n">
        <f aca="false">1</f>
        <v>1</v>
      </c>
      <c r="J21" s="13" t="n">
        <f aca="false">1</f>
        <v>1</v>
      </c>
      <c r="K21" s="13" t="n">
        <f aca="false">1</f>
        <v>1</v>
      </c>
      <c r="L21" s="13" t="n">
        <f aca="false">1</f>
        <v>1</v>
      </c>
      <c r="N21" s="12" t="n">
        <v>14</v>
      </c>
      <c r="O21" s="13" t="n">
        <f aca="false">IF(O$7&gt;=ROUNDUP($N21/2,0),1,0)</f>
        <v>0</v>
      </c>
      <c r="P21" s="13" t="n">
        <f aca="false">IF(P$7&gt;=ROUNDUP($N21/2,0),1,0)</f>
        <v>0</v>
      </c>
      <c r="Q21" s="13" t="n">
        <f aca="false">IF(Q$7&gt;=ROUNDUP($N21/2,0),1,0)</f>
        <v>0</v>
      </c>
      <c r="R21" s="13" t="n">
        <f aca="false">IF(R$7&gt;=ROUNDUP($N21/2,0),1,0)</f>
        <v>0</v>
      </c>
      <c r="S21" s="13" t="n">
        <f aca="false">IF(S$7&gt;=ROUNDUP($N21/2,0),1,0)</f>
        <v>0</v>
      </c>
      <c r="T21" s="13" t="n">
        <f aca="false">IF(T$7&gt;=ROUNDUP($N21/2,0),1,0)</f>
        <v>0</v>
      </c>
      <c r="U21" s="13" t="n">
        <f aca="false">IF(U$7&gt;=ROUNDUP($N21/2,0),1,0)</f>
        <v>1</v>
      </c>
      <c r="V21" s="13" t="n">
        <f aca="false">IF(V$7&gt;=ROUNDUP($N21/2,0),1,0)</f>
        <v>1</v>
      </c>
      <c r="W21" s="13" t="n">
        <f aca="false">IF(W$7&gt;=ROUNDUP($N21/2,0),1,0)</f>
        <v>1</v>
      </c>
      <c r="X21" s="13" t="n">
        <f aca="false">IF(X$7&gt;=ROUNDUP($N21/2,0),1,0)</f>
        <v>1</v>
      </c>
      <c r="Z21" s="12" t="n">
        <v>14</v>
      </c>
      <c r="AA21" s="13" t="n">
        <f aca="false">IF(AA$7=ROUNDUP($Z21/2,0),1,0)</f>
        <v>0</v>
      </c>
      <c r="AB21" s="13" t="n">
        <f aca="false">IF(AB$7=ROUNDUP($Z21/2,0),1,0)</f>
        <v>0</v>
      </c>
      <c r="AC21" s="13" t="n">
        <f aca="false">IF(AC$7=ROUNDUP($Z21/2,0),1,0)</f>
        <v>0</v>
      </c>
      <c r="AD21" s="13" t="n">
        <f aca="false">IF(AD$7=ROUNDUP($Z21/2,0),1,0)</f>
        <v>0</v>
      </c>
      <c r="AE21" s="13" t="n">
        <f aca="false">IF(AE$7=ROUNDUP($Z21/2,0),1,0)</f>
        <v>0</v>
      </c>
      <c r="AF21" s="13" t="n">
        <f aca="false">IF(AF$7=ROUNDUP($Z21/2,0),1,0)</f>
        <v>0</v>
      </c>
      <c r="AG21" s="13" t="n">
        <f aca="false">IF(AG$7=ROUNDUP($Z21/2,0),1,0)</f>
        <v>1</v>
      </c>
      <c r="AH21" s="13" t="n">
        <f aca="false">IF(AH$7=ROUNDUP($Z21/2,0),1,0)</f>
        <v>0</v>
      </c>
      <c r="AI21" s="13" t="n">
        <f aca="false">IF(AI$7=ROUNDUP($Z21/2,0),1,0)</f>
        <v>0</v>
      </c>
      <c r="AJ21" s="13" t="n">
        <f aca="false">IF(AJ$7=ROUNDUP($Z21/2,0),1,0)</f>
        <v>0</v>
      </c>
    </row>
    <row r="22" customFormat="false" ht="15" hidden="false" customHeight="false" outlineLevel="0" collapsed="false">
      <c r="B22" s="12" t="n">
        <v>15</v>
      </c>
      <c r="C22" s="13" t="n">
        <f aca="false">1</f>
        <v>1</v>
      </c>
      <c r="D22" s="13" t="n">
        <f aca="false">1</f>
        <v>1</v>
      </c>
      <c r="E22" s="13" t="n">
        <f aca="false">1</f>
        <v>1</v>
      </c>
      <c r="F22" s="13" t="n">
        <f aca="false">1</f>
        <v>1</v>
      </c>
      <c r="G22" s="13" t="n">
        <f aca="false">1</f>
        <v>1</v>
      </c>
      <c r="H22" s="13" t="n">
        <f aca="false">1</f>
        <v>1</v>
      </c>
      <c r="I22" s="13" t="n">
        <f aca="false">1</f>
        <v>1</v>
      </c>
      <c r="J22" s="13" t="n">
        <f aca="false">1</f>
        <v>1</v>
      </c>
      <c r="K22" s="13" t="n">
        <f aca="false">1</f>
        <v>1</v>
      </c>
      <c r="L22" s="13" t="n">
        <f aca="false">1</f>
        <v>1</v>
      </c>
      <c r="N22" s="12" t="n">
        <v>15</v>
      </c>
      <c r="O22" s="13" t="n">
        <f aca="false">IF(O$7&gt;=ROUNDUP($N22/2,0),1,0)</f>
        <v>0</v>
      </c>
      <c r="P22" s="13" t="n">
        <f aca="false">IF(P$7&gt;=ROUNDUP($N22/2,0),1,0)</f>
        <v>0</v>
      </c>
      <c r="Q22" s="13" t="n">
        <f aca="false">IF(Q$7&gt;=ROUNDUP($N22/2,0),1,0)</f>
        <v>0</v>
      </c>
      <c r="R22" s="13" t="n">
        <f aca="false">IF(R$7&gt;=ROUNDUP($N22/2,0),1,0)</f>
        <v>0</v>
      </c>
      <c r="S22" s="13" t="n">
        <f aca="false">IF(S$7&gt;=ROUNDUP($N22/2,0),1,0)</f>
        <v>0</v>
      </c>
      <c r="T22" s="13" t="n">
        <f aca="false">IF(T$7&gt;=ROUNDUP($N22/2,0),1,0)</f>
        <v>0</v>
      </c>
      <c r="U22" s="13" t="n">
        <f aca="false">IF(U$7&gt;=ROUNDUP($N22/2,0),1,0)</f>
        <v>0</v>
      </c>
      <c r="V22" s="13" t="n">
        <f aca="false">IF(V$7&gt;=ROUNDUP($N22/2,0),1,0)</f>
        <v>1</v>
      </c>
      <c r="W22" s="13" t="n">
        <f aca="false">IF(W$7&gt;=ROUNDUP($N22/2,0),1,0)</f>
        <v>1</v>
      </c>
      <c r="X22" s="13" t="n">
        <f aca="false">IF(X$7&gt;=ROUNDUP($N22/2,0),1,0)</f>
        <v>1</v>
      </c>
      <c r="Z22" s="12" t="n">
        <v>15</v>
      </c>
      <c r="AA22" s="13" t="n">
        <f aca="false">IF(AA$7=ROUNDUP($Z22/2,0),1,0)</f>
        <v>0</v>
      </c>
      <c r="AB22" s="13" t="n">
        <f aca="false">IF(AB$7=ROUNDUP($Z22/2,0),1,0)</f>
        <v>0</v>
      </c>
      <c r="AC22" s="13" t="n">
        <f aca="false">IF(AC$7=ROUNDUP($Z22/2,0),1,0)</f>
        <v>0</v>
      </c>
      <c r="AD22" s="13" t="n">
        <f aca="false">IF(AD$7=ROUNDUP($Z22/2,0),1,0)</f>
        <v>0</v>
      </c>
      <c r="AE22" s="13" t="n">
        <f aca="false">IF(AE$7=ROUNDUP($Z22/2,0),1,0)</f>
        <v>0</v>
      </c>
      <c r="AF22" s="13" t="n">
        <f aca="false">IF(AF$7=ROUNDUP($Z22/2,0),1,0)</f>
        <v>0</v>
      </c>
      <c r="AG22" s="13" t="n">
        <f aca="false">IF(AG$7=ROUNDUP($Z22/2,0),1,0)</f>
        <v>0</v>
      </c>
      <c r="AH22" s="13" t="n">
        <f aca="false">IF(AH$7=ROUNDUP($Z22/2,0),1,0)</f>
        <v>1</v>
      </c>
      <c r="AI22" s="13" t="n">
        <f aca="false">IF(AI$7=ROUNDUP($Z22/2,0),1,0)</f>
        <v>0</v>
      </c>
      <c r="AJ22" s="13" t="n">
        <f aca="false">IF(AJ$7=ROUNDUP($Z22/2,0),1,0)</f>
        <v>0</v>
      </c>
    </row>
    <row r="23" customFormat="false" ht="15" hidden="false" customHeight="false" outlineLevel="0" collapsed="false">
      <c r="B23" s="12" t="n">
        <v>16</v>
      </c>
      <c r="C23" s="13" t="n">
        <f aca="false">1</f>
        <v>1</v>
      </c>
      <c r="D23" s="13" t="n">
        <f aca="false">1</f>
        <v>1</v>
      </c>
      <c r="E23" s="13" t="n">
        <f aca="false">1</f>
        <v>1</v>
      </c>
      <c r="F23" s="13" t="n">
        <f aca="false">1</f>
        <v>1</v>
      </c>
      <c r="G23" s="13" t="n">
        <f aca="false">1</f>
        <v>1</v>
      </c>
      <c r="H23" s="13" t="n">
        <f aca="false">1</f>
        <v>1</v>
      </c>
      <c r="I23" s="13" t="n">
        <f aca="false">1</f>
        <v>1</v>
      </c>
      <c r="J23" s="13" t="n">
        <f aca="false">1</f>
        <v>1</v>
      </c>
      <c r="K23" s="13" t="n">
        <f aca="false">1</f>
        <v>1</v>
      </c>
      <c r="L23" s="13" t="n">
        <f aca="false">1</f>
        <v>1</v>
      </c>
      <c r="N23" s="12" t="n">
        <v>16</v>
      </c>
      <c r="O23" s="13" t="n">
        <f aca="false">IF(O$7&gt;=ROUNDUP($N23/2,0),1,0)</f>
        <v>0</v>
      </c>
      <c r="P23" s="13" t="n">
        <f aca="false">IF(P$7&gt;=ROUNDUP($N23/2,0),1,0)</f>
        <v>0</v>
      </c>
      <c r="Q23" s="13" t="n">
        <f aca="false">IF(Q$7&gt;=ROUNDUP($N23/2,0),1,0)</f>
        <v>0</v>
      </c>
      <c r="R23" s="13" t="n">
        <f aca="false">IF(R$7&gt;=ROUNDUP($N23/2,0),1,0)</f>
        <v>0</v>
      </c>
      <c r="S23" s="13" t="n">
        <f aca="false">IF(S$7&gt;=ROUNDUP($N23/2,0),1,0)</f>
        <v>0</v>
      </c>
      <c r="T23" s="13" t="n">
        <f aca="false">IF(T$7&gt;=ROUNDUP($N23/2,0),1,0)</f>
        <v>0</v>
      </c>
      <c r="U23" s="13" t="n">
        <f aca="false">IF(U$7&gt;=ROUNDUP($N23/2,0),1,0)</f>
        <v>0</v>
      </c>
      <c r="V23" s="13" t="n">
        <f aca="false">IF(V$7&gt;=ROUNDUP($N23/2,0),1,0)</f>
        <v>1</v>
      </c>
      <c r="W23" s="13" t="n">
        <f aca="false">IF(W$7&gt;=ROUNDUP($N23/2,0),1,0)</f>
        <v>1</v>
      </c>
      <c r="X23" s="13" t="n">
        <f aca="false">IF(X$7&gt;=ROUNDUP($N23/2,0),1,0)</f>
        <v>1</v>
      </c>
      <c r="Z23" s="12" t="n">
        <v>16</v>
      </c>
      <c r="AA23" s="13" t="n">
        <f aca="false">IF(AA$7=ROUNDUP($Z23/2,0),1,0)</f>
        <v>0</v>
      </c>
      <c r="AB23" s="13" t="n">
        <f aca="false">IF(AB$7=ROUNDUP($Z23/2,0),1,0)</f>
        <v>0</v>
      </c>
      <c r="AC23" s="13" t="n">
        <f aca="false">IF(AC$7=ROUNDUP($Z23/2,0),1,0)</f>
        <v>0</v>
      </c>
      <c r="AD23" s="13" t="n">
        <f aca="false">IF(AD$7=ROUNDUP($Z23/2,0),1,0)</f>
        <v>0</v>
      </c>
      <c r="AE23" s="13" t="n">
        <f aca="false">IF(AE$7=ROUNDUP($Z23/2,0),1,0)</f>
        <v>0</v>
      </c>
      <c r="AF23" s="13" t="n">
        <f aca="false">IF(AF$7=ROUNDUP($Z23/2,0),1,0)</f>
        <v>0</v>
      </c>
      <c r="AG23" s="13" t="n">
        <f aca="false">IF(AG$7=ROUNDUP($Z23/2,0),1,0)</f>
        <v>0</v>
      </c>
      <c r="AH23" s="13" t="n">
        <f aca="false">IF(AH$7=ROUNDUP($Z23/2,0),1,0)</f>
        <v>1</v>
      </c>
      <c r="AI23" s="13" t="n">
        <f aca="false">IF(AI$7=ROUNDUP($Z23/2,0),1,0)</f>
        <v>0</v>
      </c>
      <c r="AJ23" s="13" t="n">
        <f aca="false">IF(AJ$7=ROUNDUP($Z23/2,0),1,0)</f>
        <v>0</v>
      </c>
    </row>
    <row r="24" customFormat="false" ht="15" hidden="false" customHeight="false" outlineLevel="0" collapsed="false">
      <c r="B24" s="12" t="n">
        <v>17</v>
      </c>
      <c r="C24" s="13" t="n">
        <f aca="false">1</f>
        <v>1</v>
      </c>
      <c r="D24" s="13" t="n">
        <f aca="false">1</f>
        <v>1</v>
      </c>
      <c r="E24" s="13" t="n">
        <f aca="false">1</f>
        <v>1</v>
      </c>
      <c r="F24" s="13" t="n">
        <f aca="false">1</f>
        <v>1</v>
      </c>
      <c r="G24" s="13" t="n">
        <f aca="false">1</f>
        <v>1</v>
      </c>
      <c r="H24" s="13" t="n">
        <f aca="false">1</f>
        <v>1</v>
      </c>
      <c r="I24" s="13" t="n">
        <f aca="false">1</f>
        <v>1</v>
      </c>
      <c r="J24" s="13" t="n">
        <f aca="false">1</f>
        <v>1</v>
      </c>
      <c r="K24" s="13" t="n">
        <f aca="false">1</f>
        <v>1</v>
      </c>
      <c r="L24" s="13" t="n">
        <f aca="false">1</f>
        <v>1</v>
      </c>
      <c r="N24" s="12" t="n">
        <v>17</v>
      </c>
      <c r="O24" s="13" t="n">
        <f aca="false">IF(O$7&gt;=ROUNDUP($N24/2,0),1,0)</f>
        <v>0</v>
      </c>
      <c r="P24" s="13" t="n">
        <f aca="false">IF(P$7&gt;=ROUNDUP($N24/2,0),1,0)</f>
        <v>0</v>
      </c>
      <c r="Q24" s="13" t="n">
        <f aca="false">IF(Q$7&gt;=ROUNDUP($N24/2,0),1,0)</f>
        <v>0</v>
      </c>
      <c r="R24" s="13" t="n">
        <f aca="false">IF(R$7&gt;=ROUNDUP($N24/2,0),1,0)</f>
        <v>0</v>
      </c>
      <c r="S24" s="13" t="n">
        <f aca="false">IF(S$7&gt;=ROUNDUP($N24/2,0),1,0)</f>
        <v>0</v>
      </c>
      <c r="T24" s="13" t="n">
        <f aca="false">IF(T$7&gt;=ROUNDUP($N24/2,0),1,0)</f>
        <v>0</v>
      </c>
      <c r="U24" s="13" t="n">
        <f aca="false">IF(U$7&gt;=ROUNDUP($N24/2,0),1,0)</f>
        <v>0</v>
      </c>
      <c r="V24" s="13" t="n">
        <f aca="false">IF(V$7&gt;=ROUNDUP($N24/2,0),1,0)</f>
        <v>0</v>
      </c>
      <c r="W24" s="13" t="n">
        <f aca="false">IF(W$7&gt;=ROUNDUP($N24/2,0),1,0)</f>
        <v>1</v>
      </c>
      <c r="X24" s="13" t="n">
        <f aca="false">IF(X$7&gt;=ROUNDUP($N24/2,0),1,0)</f>
        <v>1</v>
      </c>
      <c r="Z24" s="12" t="n">
        <v>17</v>
      </c>
      <c r="AA24" s="13" t="n">
        <f aca="false">IF(AA$7=ROUNDUP($Z24/2,0),1,0)</f>
        <v>0</v>
      </c>
      <c r="AB24" s="13" t="n">
        <f aca="false">IF(AB$7=ROUNDUP($Z24/2,0),1,0)</f>
        <v>0</v>
      </c>
      <c r="AC24" s="13" t="n">
        <f aca="false">IF(AC$7=ROUNDUP($Z24/2,0),1,0)</f>
        <v>0</v>
      </c>
      <c r="AD24" s="13" t="n">
        <f aca="false">IF(AD$7=ROUNDUP($Z24/2,0),1,0)</f>
        <v>0</v>
      </c>
      <c r="AE24" s="13" t="n">
        <f aca="false">IF(AE$7=ROUNDUP($Z24/2,0),1,0)</f>
        <v>0</v>
      </c>
      <c r="AF24" s="13" t="n">
        <f aca="false">IF(AF$7=ROUNDUP($Z24/2,0),1,0)</f>
        <v>0</v>
      </c>
      <c r="AG24" s="13" t="n">
        <f aca="false">IF(AG$7=ROUNDUP($Z24/2,0),1,0)</f>
        <v>0</v>
      </c>
      <c r="AH24" s="13" t="n">
        <f aca="false">IF(AH$7=ROUNDUP($Z24/2,0),1,0)</f>
        <v>0</v>
      </c>
      <c r="AI24" s="13" t="n">
        <f aca="false">IF(AI$7=ROUNDUP($Z24/2,0),1,0)</f>
        <v>1</v>
      </c>
      <c r="AJ24" s="13" t="n">
        <f aca="false">IF(AJ$7=ROUNDUP($Z24/2,0),1,0)</f>
        <v>0</v>
      </c>
    </row>
    <row r="25" customFormat="false" ht="15" hidden="false" customHeight="false" outlineLevel="0" collapsed="false">
      <c r="B25" s="12" t="n">
        <v>18</v>
      </c>
      <c r="C25" s="13" t="n">
        <f aca="false">1</f>
        <v>1</v>
      </c>
      <c r="D25" s="13" t="n">
        <f aca="false">1</f>
        <v>1</v>
      </c>
      <c r="E25" s="13" t="n">
        <f aca="false">1</f>
        <v>1</v>
      </c>
      <c r="F25" s="13" t="n">
        <f aca="false">1</f>
        <v>1</v>
      </c>
      <c r="G25" s="13" t="n">
        <f aca="false">1</f>
        <v>1</v>
      </c>
      <c r="H25" s="13" t="n">
        <f aca="false">1</f>
        <v>1</v>
      </c>
      <c r="I25" s="13" t="n">
        <f aca="false">1</f>
        <v>1</v>
      </c>
      <c r="J25" s="13" t="n">
        <f aca="false">1</f>
        <v>1</v>
      </c>
      <c r="K25" s="13" t="n">
        <f aca="false">1</f>
        <v>1</v>
      </c>
      <c r="L25" s="13" t="n">
        <f aca="false">1</f>
        <v>1</v>
      </c>
      <c r="N25" s="12" t="n">
        <v>18</v>
      </c>
      <c r="O25" s="13" t="n">
        <f aca="false">IF(O$7&gt;=ROUNDUP($N25/2,0),1,0)</f>
        <v>0</v>
      </c>
      <c r="P25" s="13" t="n">
        <f aca="false">IF(P$7&gt;=ROUNDUP($N25/2,0),1,0)</f>
        <v>0</v>
      </c>
      <c r="Q25" s="13" t="n">
        <f aca="false">IF(Q$7&gt;=ROUNDUP($N25/2,0),1,0)</f>
        <v>0</v>
      </c>
      <c r="R25" s="13" t="n">
        <f aca="false">IF(R$7&gt;=ROUNDUP($N25/2,0),1,0)</f>
        <v>0</v>
      </c>
      <c r="S25" s="13" t="n">
        <f aca="false">IF(S$7&gt;=ROUNDUP($N25/2,0),1,0)</f>
        <v>0</v>
      </c>
      <c r="T25" s="13" t="n">
        <f aca="false">IF(T$7&gt;=ROUNDUP($N25/2,0),1,0)</f>
        <v>0</v>
      </c>
      <c r="U25" s="13" t="n">
        <f aca="false">IF(U$7&gt;=ROUNDUP($N25/2,0),1,0)</f>
        <v>0</v>
      </c>
      <c r="V25" s="13" t="n">
        <f aca="false">IF(V$7&gt;=ROUNDUP($N25/2,0),1,0)</f>
        <v>0</v>
      </c>
      <c r="W25" s="13" t="n">
        <f aca="false">IF(W$7&gt;=ROUNDUP($N25/2,0),1,0)</f>
        <v>1</v>
      </c>
      <c r="X25" s="13" t="n">
        <f aca="false">IF(X$7&gt;=ROUNDUP($N25/2,0),1,0)</f>
        <v>1</v>
      </c>
      <c r="Z25" s="12" t="n">
        <v>18</v>
      </c>
      <c r="AA25" s="13" t="n">
        <f aca="false">IF(AA$7=ROUNDUP($Z25/2,0),1,0)</f>
        <v>0</v>
      </c>
      <c r="AB25" s="13" t="n">
        <f aca="false">IF(AB$7=ROUNDUP($Z25/2,0),1,0)</f>
        <v>0</v>
      </c>
      <c r="AC25" s="13" t="n">
        <f aca="false">IF(AC$7=ROUNDUP($Z25/2,0),1,0)</f>
        <v>0</v>
      </c>
      <c r="AD25" s="13" t="n">
        <f aca="false">IF(AD$7=ROUNDUP($Z25/2,0),1,0)</f>
        <v>0</v>
      </c>
      <c r="AE25" s="13" t="n">
        <f aca="false">IF(AE$7=ROUNDUP($Z25/2,0),1,0)</f>
        <v>0</v>
      </c>
      <c r="AF25" s="13" t="n">
        <f aca="false">IF(AF$7=ROUNDUP($Z25/2,0),1,0)</f>
        <v>0</v>
      </c>
      <c r="AG25" s="13" t="n">
        <f aca="false">IF(AG$7=ROUNDUP($Z25/2,0),1,0)</f>
        <v>0</v>
      </c>
      <c r="AH25" s="13" t="n">
        <f aca="false">IF(AH$7=ROUNDUP($Z25/2,0),1,0)</f>
        <v>0</v>
      </c>
      <c r="AI25" s="13" t="n">
        <f aca="false">IF(AI$7=ROUNDUP($Z25/2,0),1,0)</f>
        <v>1</v>
      </c>
      <c r="AJ25" s="13" t="n">
        <f aca="false">IF(AJ$7=ROUNDUP($Z25/2,0),1,0)</f>
        <v>0</v>
      </c>
    </row>
    <row r="26" customFormat="false" ht="15" hidden="false" customHeight="false" outlineLevel="0" collapsed="false">
      <c r="B26" s="12" t="n">
        <v>19</v>
      </c>
      <c r="C26" s="13" t="n">
        <f aca="false">1</f>
        <v>1</v>
      </c>
      <c r="D26" s="13" t="n">
        <f aca="false">1</f>
        <v>1</v>
      </c>
      <c r="E26" s="13" t="n">
        <f aca="false">1</f>
        <v>1</v>
      </c>
      <c r="F26" s="13" t="n">
        <f aca="false">1</f>
        <v>1</v>
      </c>
      <c r="G26" s="13" t="n">
        <f aca="false">1</f>
        <v>1</v>
      </c>
      <c r="H26" s="13" t="n">
        <f aca="false">1</f>
        <v>1</v>
      </c>
      <c r="I26" s="13" t="n">
        <f aca="false">1</f>
        <v>1</v>
      </c>
      <c r="J26" s="13" t="n">
        <f aca="false">1</f>
        <v>1</v>
      </c>
      <c r="K26" s="13" t="n">
        <f aca="false">1</f>
        <v>1</v>
      </c>
      <c r="L26" s="13" t="n">
        <f aca="false">1</f>
        <v>1</v>
      </c>
      <c r="N26" s="12" t="n">
        <v>19</v>
      </c>
      <c r="O26" s="13" t="n">
        <f aca="false">IF(O$7&gt;=ROUNDUP($N26/2,0),1,0)</f>
        <v>0</v>
      </c>
      <c r="P26" s="13" t="n">
        <f aca="false">IF(P$7&gt;=ROUNDUP($N26/2,0),1,0)</f>
        <v>0</v>
      </c>
      <c r="Q26" s="13" t="n">
        <f aca="false">IF(Q$7&gt;=ROUNDUP($N26/2,0),1,0)</f>
        <v>0</v>
      </c>
      <c r="R26" s="13" t="n">
        <f aca="false">IF(R$7&gt;=ROUNDUP($N26/2,0),1,0)</f>
        <v>0</v>
      </c>
      <c r="S26" s="13" t="n">
        <f aca="false">IF(S$7&gt;=ROUNDUP($N26/2,0),1,0)</f>
        <v>0</v>
      </c>
      <c r="T26" s="13" t="n">
        <f aca="false">IF(T$7&gt;=ROUNDUP($N26/2,0),1,0)</f>
        <v>0</v>
      </c>
      <c r="U26" s="13" t="n">
        <f aca="false">IF(U$7&gt;=ROUNDUP($N26/2,0),1,0)</f>
        <v>0</v>
      </c>
      <c r="V26" s="13" t="n">
        <f aca="false">IF(V$7&gt;=ROUNDUP($N26/2,0),1,0)</f>
        <v>0</v>
      </c>
      <c r="W26" s="13" t="n">
        <f aca="false">IF(W$7&gt;=ROUNDUP($N26/2,0),1,0)</f>
        <v>0</v>
      </c>
      <c r="X26" s="13" t="n">
        <f aca="false">IF(X$7&gt;=ROUNDUP($N26/2,0),1,0)</f>
        <v>1</v>
      </c>
      <c r="Z26" s="12" t="n">
        <v>19</v>
      </c>
      <c r="AA26" s="13" t="n">
        <f aca="false">IF(AA$7=ROUNDUP($Z26/2,0),1,0)</f>
        <v>0</v>
      </c>
      <c r="AB26" s="13" t="n">
        <f aca="false">IF(AB$7=ROUNDUP($Z26/2,0),1,0)</f>
        <v>0</v>
      </c>
      <c r="AC26" s="13" t="n">
        <f aca="false">IF(AC$7=ROUNDUP($Z26/2,0),1,0)</f>
        <v>0</v>
      </c>
      <c r="AD26" s="13" t="n">
        <f aca="false">IF(AD$7=ROUNDUP($Z26/2,0),1,0)</f>
        <v>0</v>
      </c>
      <c r="AE26" s="13" t="n">
        <f aca="false">IF(AE$7=ROUNDUP($Z26/2,0),1,0)</f>
        <v>0</v>
      </c>
      <c r="AF26" s="13" t="n">
        <f aca="false">IF(AF$7=ROUNDUP($Z26/2,0),1,0)</f>
        <v>0</v>
      </c>
      <c r="AG26" s="13" t="n">
        <f aca="false">IF(AG$7=ROUNDUP($Z26/2,0),1,0)</f>
        <v>0</v>
      </c>
      <c r="AH26" s="13" t="n">
        <f aca="false">IF(AH$7=ROUNDUP($Z26/2,0),1,0)</f>
        <v>0</v>
      </c>
      <c r="AI26" s="13" t="n">
        <f aca="false">IF(AI$7=ROUNDUP($Z26/2,0),1,0)</f>
        <v>0</v>
      </c>
      <c r="AJ26" s="13" t="n">
        <f aca="false">IF(AJ$7=ROUNDUP($Z26/2,0),1,0)</f>
        <v>1</v>
      </c>
    </row>
    <row r="27" customFormat="false" ht="15" hidden="false" customHeight="false" outlineLevel="0" collapsed="false">
      <c r="B27" s="12" t="n">
        <v>20</v>
      </c>
      <c r="C27" s="13" t="n">
        <f aca="false">1</f>
        <v>1</v>
      </c>
      <c r="D27" s="13" t="n">
        <f aca="false">1</f>
        <v>1</v>
      </c>
      <c r="E27" s="13" t="n">
        <f aca="false">1</f>
        <v>1</v>
      </c>
      <c r="F27" s="13" t="n">
        <f aca="false">1</f>
        <v>1</v>
      </c>
      <c r="G27" s="13" t="n">
        <f aca="false">1</f>
        <v>1</v>
      </c>
      <c r="H27" s="13" t="n">
        <f aca="false">1</f>
        <v>1</v>
      </c>
      <c r="I27" s="13" t="n">
        <f aca="false">1</f>
        <v>1</v>
      </c>
      <c r="J27" s="13" t="n">
        <f aca="false">1</f>
        <v>1</v>
      </c>
      <c r="K27" s="13" t="n">
        <f aca="false">1</f>
        <v>1</v>
      </c>
      <c r="L27" s="13" t="n">
        <f aca="false">1</f>
        <v>1</v>
      </c>
      <c r="N27" s="12" t="n">
        <v>20</v>
      </c>
      <c r="O27" s="13" t="n">
        <f aca="false">IF(O$7&gt;=ROUNDUP($N27/2,0),1,0)</f>
        <v>0</v>
      </c>
      <c r="P27" s="13" t="n">
        <f aca="false">IF(P$7&gt;=ROUNDUP($N27/2,0),1,0)</f>
        <v>0</v>
      </c>
      <c r="Q27" s="13" t="n">
        <f aca="false">IF(Q$7&gt;=ROUNDUP($N27/2,0),1,0)</f>
        <v>0</v>
      </c>
      <c r="R27" s="13" t="n">
        <f aca="false">IF(R$7&gt;=ROUNDUP($N27/2,0),1,0)</f>
        <v>0</v>
      </c>
      <c r="S27" s="13" t="n">
        <f aca="false">IF(S$7&gt;=ROUNDUP($N27/2,0),1,0)</f>
        <v>0</v>
      </c>
      <c r="T27" s="13" t="n">
        <f aca="false">IF(T$7&gt;=ROUNDUP($N27/2,0),1,0)</f>
        <v>0</v>
      </c>
      <c r="U27" s="13" t="n">
        <f aca="false">IF(U$7&gt;=ROUNDUP($N27/2,0),1,0)</f>
        <v>0</v>
      </c>
      <c r="V27" s="13" t="n">
        <f aca="false">IF(V$7&gt;=ROUNDUP($N27/2,0),1,0)</f>
        <v>0</v>
      </c>
      <c r="W27" s="13" t="n">
        <f aca="false">IF(W$7&gt;=ROUNDUP($N27/2,0),1,0)</f>
        <v>0</v>
      </c>
      <c r="X27" s="13" t="n">
        <f aca="false">IF(X$7&gt;=ROUNDUP($N27/2,0),1,0)</f>
        <v>1</v>
      </c>
      <c r="Z27" s="12" t="n">
        <v>20</v>
      </c>
      <c r="AA27" s="13" t="n">
        <f aca="false">IF(AA$7=ROUNDUP($Z27/2,0),1,0)</f>
        <v>0</v>
      </c>
      <c r="AB27" s="13" t="n">
        <f aca="false">IF(AB$7=ROUNDUP($Z27/2,0),1,0)</f>
        <v>0</v>
      </c>
      <c r="AC27" s="13" t="n">
        <f aca="false">IF(AC$7=ROUNDUP($Z27/2,0),1,0)</f>
        <v>0</v>
      </c>
      <c r="AD27" s="13" t="n">
        <f aca="false">IF(AD$7=ROUNDUP($Z27/2,0),1,0)</f>
        <v>0</v>
      </c>
      <c r="AE27" s="13" t="n">
        <f aca="false">IF(AE$7=ROUNDUP($Z27/2,0),1,0)</f>
        <v>0</v>
      </c>
      <c r="AF27" s="13" t="n">
        <f aca="false">IF(AF$7=ROUNDUP($Z27/2,0),1,0)</f>
        <v>0</v>
      </c>
      <c r="AG27" s="13" t="n">
        <f aca="false">IF(AG$7=ROUNDUP($Z27/2,0),1,0)</f>
        <v>0</v>
      </c>
      <c r="AH27" s="13" t="n">
        <f aca="false">IF(AH$7=ROUNDUP($Z27/2,0),1,0)</f>
        <v>0</v>
      </c>
      <c r="AI27" s="13" t="n">
        <f aca="false">IF(AI$7=ROUNDUP($Z27/2,0),1,0)</f>
        <v>0</v>
      </c>
      <c r="AJ27" s="13" t="n">
        <f aca="false">IF(AJ$7=ROUNDUP($Z27/2,0),1,0)</f>
        <v>1</v>
      </c>
    </row>
    <row r="30" customFormat="false" ht="15" hidden="false" customHeight="false" outlineLevel="0" collapsed="false">
      <c r="A30" s="3" t="s">
        <v>174</v>
      </c>
    </row>
    <row r="31" customFormat="false" ht="15" hidden="false" customHeight="false" outlineLevel="0" collapsed="false">
      <c r="B31" s="11" t="s">
        <v>175</v>
      </c>
      <c r="N31" s="11" t="s">
        <v>176</v>
      </c>
      <c r="Z31" s="11" t="s">
        <v>177</v>
      </c>
    </row>
    <row r="32" customFormat="false" ht="15" hidden="false" customHeight="false" outlineLevel="0" collapsed="false">
      <c r="B32" s="4" t="s">
        <v>173</v>
      </c>
      <c r="C32" s="12" t="n">
        <v>1</v>
      </c>
      <c r="D32" s="12" t="n">
        <v>2</v>
      </c>
      <c r="E32" s="12" t="n">
        <v>3</v>
      </c>
      <c r="F32" s="12" t="n">
        <v>4</v>
      </c>
      <c r="G32" s="12" t="n">
        <v>5</v>
      </c>
      <c r="H32" s="12" t="n">
        <v>6</v>
      </c>
      <c r="I32" s="12" t="n">
        <v>7</v>
      </c>
      <c r="J32" s="12" t="n">
        <v>8</v>
      </c>
      <c r="K32" s="12" t="n">
        <v>9</v>
      </c>
      <c r="L32" s="12" t="n">
        <v>10</v>
      </c>
      <c r="N32" s="4" t="s">
        <v>173</v>
      </c>
      <c r="O32" s="12" t="n">
        <v>1</v>
      </c>
      <c r="P32" s="12" t="n">
        <v>2</v>
      </c>
      <c r="Q32" s="12" t="n">
        <v>3</v>
      </c>
      <c r="R32" s="12" t="n">
        <v>4</v>
      </c>
      <c r="S32" s="12" t="n">
        <v>5</v>
      </c>
      <c r="T32" s="12" t="n">
        <v>6</v>
      </c>
      <c r="U32" s="12" t="n">
        <v>7</v>
      </c>
      <c r="V32" s="12" t="n">
        <v>8</v>
      </c>
      <c r="W32" s="12" t="n">
        <v>9</v>
      </c>
      <c r="X32" s="12" t="n">
        <v>10</v>
      </c>
      <c r="Z32" s="4" t="s">
        <v>173</v>
      </c>
      <c r="AA32" s="12" t="n">
        <v>1</v>
      </c>
      <c r="AB32" s="12" t="n">
        <v>2</v>
      </c>
      <c r="AC32" s="12" t="n">
        <v>3</v>
      </c>
      <c r="AD32" s="12" t="n">
        <v>4</v>
      </c>
      <c r="AE32" s="12" t="n">
        <v>5</v>
      </c>
      <c r="AF32" s="12" t="n">
        <v>6</v>
      </c>
      <c r="AG32" s="12" t="n">
        <v>7</v>
      </c>
      <c r="AH32" s="12" t="n">
        <v>8</v>
      </c>
      <c r="AI32" s="12" t="n">
        <v>9</v>
      </c>
      <c r="AJ32" s="12" t="n">
        <v>10</v>
      </c>
    </row>
    <row r="33" customFormat="false" ht="15" hidden="false" customHeight="false" outlineLevel="0" collapsed="false">
      <c r="B33" s="12" t="n">
        <v>1</v>
      </c>
      <c r="C33" s="13" t="n">
        <f aca="false">1</f>
        <v>1</v>
      </c>
      <c r="D33" s="13" t="n">
        <f aca="false">1</f>
        <v>1</v>
      </c>
      <c r="E33" s="13" t="n">
        <f aca="false">1</f>
        <v>1</v>
      </c>
      <c r="F33" s="13" t="n">
        <f aca="false">1</f>
        <v>1</v>
      </c>
      <c r="G33" s="13" t="n">
        <f aca="false">1</f>
        <v>1</v>
      </c>
      <c r="H33" s="13" t="n">
        <f aca="false">1</f>
        <v>1</v>
      </c>
      <c r="I33" s="13" t="n">
        <f aca="false">1</f>
        <v>1</v>
      </c>
      <c r="J33" s="13" t="n">
        <f aca="false">1</f>
        <v>1</v>
      </c>
      <c r="K33" s="13" t="n">
        <f aca="false">1</f>
        <v>1</v>
      </c>
      <c r="L33" s="13" t="n">
        <f aca="false">1</f>
        <v>1</v>
      </c>
      <c r="N33" s="12" t="n">
        <v>1</v>
      </c>
      <c r="O33" s="13" t="n">
        <f aca="false">IF(O$32&gt;=$N33,1,0)</f>
        <v>1</v>
      </c>
      <c r="P33" s="13" t="n">
        <f aca="false">IF(P$32&gt;=$N33,1,0)</f>
        <v>1</v>
      </c>
      <c r="Q33" s="13" t="n">
        <f aca="false">IF(Q$32&gt;=$N33,1,0)</f>
        <v>1</v>
      </c>
      <c r="R33" s="13" t="n">
        <f aca="false">IF(R$32&gt;=$N33,1,0)</f>
        <v>1</v>
      </c>
      <c r="S33" s="13" t="n">
        <f aca="false">IF(S$32&gt;=$N33,1,0)</f>
        <v>1</v>
      </c>
      <c r="T33" s="13" t="n">
        <f aca="false">IF(T$32&gt;=$N33,1,0)</f>
        <v>1</v>
      </c>
      <c r="U33" s="13" t="n">
        <f aca="false">IF(U$32&gt;=$N33,1,0)</f>
        <v>1</v>
      </c>
      <c r="V33" s="13" t="n">
        <f aca="false">IF(V$32&gt;=$N33,1,0)</f>
        <v>1</v>
      </c>
      <c r="W33" s="13" t="n">
        <f aca="false">IF(W$32&gt;=$N33,1,0)</f>
        <v>1</v>
      </c>
      <c r="X33" s="13" t="n">
        <f aca="false">IF(X$32&gt;=$N33,1,0)</f>
        <v>1</v>
      </c>
      <c r="Z33" s="12" t="n">
        <v>1</v>
      </c>
      <c r="AA33" s="13" t="n">
        <f aca="false">IF(AA$32=$Z33,1,0)</f>
        <v>1</v>
      </c>
      <c r="AB33" s="13" t="n">
        <f aca="false">IF(AB$32=$Z33,1,0)</f>
        <v>0</v>
      </c>
      <c r="AC33" s="13" t="n">
        <f aca="false">IF(AC$32=$Z33,1,0)</f>
        <v>0</v>
      </c>
      <c r="AD33" s="13" t="n">
        <f aca="false">IF(AD$32=$Z33,1,0)</f>
        <v>0</v>
      </c>
      <c r="AE33" s="13" t="n">
        <f aca="false">IF(AE$32=$Z33,1,0)</f>
        <v>0</v>
      </c>
      <c r="AF33" s="13" t="n">
        <f aca="false">IF(AF$32=$Z33,1,0)</f>
        <v>0</v>
      </c>
      <c r="AG33" s="13" t="n">
        <f aca="false">IF(AG$32=$Z33,1,0)</f>
        <v>0</v>
      </c>
      <c r="AH33" s="13" t="n">
        <f aca="false">IF(AH$32=$Z33,1,0)</f>
        <v>0</v>
      </c>
      <c r="AI33" s="13" t="n">
        <f aca="false">IF(AI$32=$Z33,1,0)</f>
        <v>0</v>
      </c>
      <c r="AJ33" s="13" t="n">
        <f aca="false">IF(AJ$32=$Z33,1,0)</f>
        <v>0</v>
      </c>
    </row>
    <row r="34" customFormat="false" ht="15" hidden="false" customHeight="false" outlineLevel="0" collapsed="false">
      <c r="B34" s="12" t="n">
        <v>2</v>
      </c>
      <c r="C34" s="13" t="n">
        <f aca="false">1</f>
        <v>1</v>
      </c>
      <c r="D34" s="13" t="n">
        <f aca="false">1</f>
        <v>1</v>
      </c>
      <c r="E34" s="13" t="n">
        <f aca="false">1</f>
        <v>1</v>
      </c>
      <c r="F34" s="13" t="n">
        <f aca="false">1</f>
        <v>1</v>
      </c>
      <c r="G34" s="13" t="n">
        <f aca="false">1</f>
        <v>1</v>
      </c>
      <c r="H34" s="13" t="n">
        <f aca="false">1</f>
        <v>1</v>
      </c>
      <c r="I34" s="13" t="n">
        <f aca="false">1</f>
        <v>1</v>
      </c>
      <c r="J34" s="13" t="n">
        <f aca="false">1</f>
        <v>1</v>
      </c>
      <c r="K34" s="13" t="n">
        <f aca="false">1</f>
        <v>1</v>
      </c>
      <c r="L34" s="13" t="n">
        <f aca="false">1</f>
        <v>1</v>
      </c>
      <c r="N34" s="12" t="n">
        <v>2</v>
      </c>
      <c r="O34" s="13" t="n">
        <f aca="false">IF(O$32&gt;=$N34,1,0)</f>
        <v>0</v>
      </c>
      <c r="P34" s="13" t="n">
        <f aca="false">IF(P$32&gt;=$N34,1,0)</f>
        <v>1</v>
      </c>
      <c r="Q34" s="13" t="n">
        <f aca="false">IF(Q$32&gt;=$N34,1,0)</f>
        <v>1</v>
      </c>
      <c r="R34" s="13" t="n">
        <f aca="false">IF(R$32&gt;=$N34,1,0)</f>
        <v>1</v>
      </c>
      <c r="S34" s="13" t="n">
        <f aca="false">IF(S$32&gt;=$N34,1,0)</f>
        <v>1</v>
      </c>
      <c r="T34" s="13" t="n">
        <f aca="false">IF(T$32&gt;=$N34,1,0)</f>
        <v>1</v>
      </c>
      <c r="U34" s="13" t="n">
        <f aca="false">IF(U$32&gt;=$N34,1,0)</f>
        <v>1</v>
      </c>
      <c r="V34" s="13" t="n">
        <f aca="false">IF(V$32&gt;=$N34,1,0)</f>
        <v>1</v>
      </c>
      <c r="W34" s="13" t="n">
        <f aca="false">IF(W$32&gt;=$N34,1,0)</f>
        <v>1</v>
      </c>
      <c r="X34" s="13" t="n">
        <f aca="false">IF(X$32&gt;=$N34,1,0)</f>
        <v>1</v>
      </c>
      <c r="Z34" s="12" t="n">
        <v>2</v>
      </c>
      <c r="AA34" s="13" t="n">
        <f aca="false">IF(AA$32=$Z34,1,0)</f>
        <v>0</v>
      </c>
      <c r="AB34" s="13" t="n">
        <f aca="false">IF(AB$32=$Z34,1,0)</f>
        <v>1</v>
      </c>
      <c r="AC34" s="13" t="n">
        <f aca="false">IF(AC$32=$Z34,1,0)</f>
        <v>0</v>
      </c>
      <c r="AD34" s="13" t="n">
        <f aca="false">IF(AD$32=$Z34,1,0)</f>
        <v>0</v>
      </c>
      <c r="AE34" s="13" t="n">
        <f aca="false">IF(AE$32=$Z34,1,0)</f>
        <v>0</v>
      </c>
      <c r="AF34" s="13" t="n">
        <f aca="false">IF(AF$32=$Z34,1,0)</f>
        <v>0</v>
      </c>
      <c r="AG34" s="13" t="n">
        <f aca="false">IF(AG$32=$Z34,1,0)</f>
        <v>0</v>
      </c>
      <c r="AH34" s="13" t="n">
        <f aca="false">IF(AH$32=$Z34,1,0)</f>
        <v>0</v>
      </c>
      <c r="AI34" s="13" t="n">
        <f aca="false">IF(AI$32=$Z34,1,0)</f>
        <v>0</v>
      </c>
      <c r="AJ34" s="13" t="n">
        <f aca="false">IF(AJ$32=$Z34,1,0)</f>
        <v>0</v>
      </c>
    </row>
    <row r="35" customFormat="false" ht="15" hidden="false" customHeight="false" outlineLevel="0" collapsed="false">
      <c r="B35" s="12" t="n">
        <v>3</v>
      </c>
      <c r="C35" s="13" t="n">
        <f aca="false">1</f>
        <v>1</v>
      </c>
      <c r="D35" s="13" t="n">
        <f aca="false">1</f>
        <v>1</v>
      </c>
      <c r="E35" s="13" t="n">
        <f aca="false">1</f>
        <v>1</v>
      </c>
      <c r="F35" s="13" t="n">
        <f aca="false">1</f>
        <v>1</v>
      </c>
      <c r="G35" s="13" t="n">
        <f aca="false">1</f>
        <v>1</v>
      </c>
      <c r="H35" s="13" t="n">
        <f aca="false">1</f>
        <v>1</v>
      </c>
      <c r="I35" s="13" t="n">
        <f aca="false">1</f>
        <v>1</v>
      </c>
      <c r="J35" s="13" t="n">
        <f aca="false">1</f>
        <v>1</v>
      </c>
      <c r="K35" s="13" t="n">
        <f aca="false">1</f>
        <v>1</v>
      </c>
      <c r="L35" s="13" t="n">
        <f aca="false">1</f>
        <v>1</v>
      </c>
      <c r="N35" s="12" t="n">
        <v>3</v>
      </c>
      <c r="O35" s="13" t="n">
        <f aca="false">IF(O$32&gt;=$N35,1,0)</f>
        <v>0</v>
      </c>
      <c r="P35" s="13" t="n">
        <f aca="false">IF(P$32&gt;=$N35,1,0)</f>
        <v>0</v>
      </c>
      <c r="Q35" s="13" t="n">
        <f aca="false">IF(Q$32&gt;=$N35,1,0)</f>
        <v>1</v>
      </c>
      <c r="R35" s="13" t="n">
        <f aca="false">IF(R$32&gt;=$N35,1,0)</f>
        <v>1</v>
      </c>
      <c r="S35" s="13" t="n">
        <f aca="false">IF(S$32&gt;=$N35,1,0)</f>
        <v>1</v>
      </c>
      <c r="T35" s="13" t="n">
        <f aca="false">IF(T$32&gt;=$N35,1,0)</f>
        <v>1</v>
      </c>
      <c r="U35" s="13" t="n">
        <f aca="false">IF(U$32&gt;=$N35,1,0)</f>
        <v>1</v>
      </c>
      <c r="V35" s="13" t="n">
        <f aca="false">IF(V$32&gt;=$N35,1,0)</f>
        <v>1</v>
      </c>
      <c r="W35" s="13" t="n">
        <f aca="false">IF(W$32&gt;=$N35,1,0)</f>
        <v>1</v>
      </c>
      <c r="X35" s="13" t="n">
        <f aca="false">IF(X$32&gt;=$N35,1,0)</f>
        <v>1</v>
      </c>
      <c r="Z35" s="12" t="n">
        <v>3</v>
      </c>
      <c r="AA35" s="13" t="n">
        <f aca="false">IF(AA$32=$Z35,1,0)</f>
        <v>0</v>
      </c>
      <c r="AB35" s="13" t="n">
        <f aca="false">IF(AB$32=$Z35,1,0)</f>
        <v>0</v>
      </c>
      <c r="AC35" s="13" t="n">
        <f aca="false">IF(AC$32=$Z35,1,0)</f>
        <v>1</v>
      </c>
      <c r="AD35" s="13" t="n">
        <f aca="false">IF(AD$32=$Z35,1,0)</f>
        <v>0</v>
      </c>
      <c r="AE35" s="13" t="n">
        <f aca="false">IF(AE$32=$Z35,1,0)</f>
        <v>0</v>
      </c>
      <c r="AF35" s="13" t="n">
        <f aca="false">IF(AF$32=$Z35,1,0)</f>
        <v>0</v>
      </c>
      <c r="AG35" s="13" t="n">
        <f aca="false">IF(AG$32=$Z35,1,0)</f>
        <v>0</v>
      </c>
      <c r="AH35" s="13" t="n">
        <f aca="false">IF(AH$32=$Z35,1,0)</f>
        <v>0</v>
      </c>
      <c r="AI35" s="13" t="n">
        <f aca="false">IF(AI$32=$Z35,1,0)</f>
        <v>0</v>
      </c>
      <c r="AJ35" s="13" t="n">
        <f aca="false">IF(AJ$32=$Z35,1,0)</f>
        <v>0</v>
      </c>
    </row>
    <row r="36" customFormat="false" ht="15" hidden="false" customHeight="false" outlineLevel="0" collapsed="false">
      <c r="B36" s="12" t="n">
        <v>4</v>
      </c>
      <c r="C36" s="13" t="n">
        <f aca="false">1</f>
        <v>1</v>
      </c>
      <c r="D36" s="13" t="n">
        <f aca="false">1</f>
        <v>1</v>
      </c>
      <c r="E36" s="13" t="n">
        <f aca="false">1</f>
        <v>1</v>
      </c>
      <c r="F36" s="13" t="n">
        <f aca="false">1</f>
        <v>1</v>
      </c>
      <c r="G36" s="13" t="n">
        <f aca="false">1</f>
        <v>1</v>
      </c>
      <c r="H36" s="13" t="n">
        <f aca="false">1</f>
        <v>1</v>
      </c>
      <c r="I36" s="13" t="n">
        <f aca="false">1</f>
        <v>1</v>
      </c>
      <c r="J36" s="13" t="n">
        <f aca="false">1</f>
        <v>1</v>
      </c>
      <c r="K36" s="13" t="n">
        <f aca="false">1</f>
        <v>1</v>
      </c>
      <c r="L36" s="13" t="n">
        <f aca="false">1</f>
        <v>1</v>
      </c>
      <c r="N36" s="12" t="n">
        <v>4</v>
      </c>
      <c r="O36" s="13" t="n">
        <f aca="false">IF(O$32&gt;=$N36,1,0)</f>
        <v>0</v>
      </c>
      <c r="P36" s="13" t="n">
        <f aca="false">IF(P$32&gt;=$N36,1,0)</f>
        <v>0</v>
      </c>
      <c r="Q36" s="13" t="n">
        <f aca="false">IF(Q$32&gt;=$N36,1,0)</f>
        <v>0</v>
      </c>
      <c r="R36" s="13" t="n">
        <f aca="false">IF(R$32&gt;=$N36,1,0)</f>
        <v>1</v>
      </c>
      <c r="S36" s="13" t="n">
        <f aca="false">IF(S$32&gt;=$N36,1,0)</f>
        <v>1</v>
      </c>
      <c r="T36" s="13" t="n">
        <f aca="false">IF(T$32&gt;=$N36,1,0)</f>
        <v>1</v>
      </c>
      <c r="U36" s="13" t="n">
        <f aca="false">IF(U$32&gt;=$N36,1,0)</f>
        <v>1</v>
      </c>
      <c r="V36" s="13" t="n">
        <f aca="false">IF(V$32&gt;=$N36,1,0)</f>
        <v>1</v>
      </c>
      <c r="W36" s="13" t="n">
        <f aca="false">IF(W$32&gt;=$N36,1,0)</f>
        <v>1</v>
      </c>
      <c r="X36" s="13" t="n">
        <f aca="false">IF(X$32&gt;=$N36,1,0)</f>
        <v>1</v>
      </c>
      <c r="Z36" s="12" t="n">
        <v>4</v>
      </c>
      <c r="AA36" s="13" t="n">
        <f aca="false">IF(AA$32=$Z36,1,0)</f>
        <v>0</v>
      </c>
      <c r="AB36" s="13" t="n">
        <f aca="false">IF(AB$32=$Z36,1,0)</f>
        <v>0</v>
      </c>
      <c r="AC36" s="13" t="n">
        <f aca="false">IF(AC$32=$Z36,1,0)</f>
        <v>0</v>
      </c>
      <c r="AD36" s="13" t="n">
        <f aca="false">IF(AD$32=$Z36,1,0)</f>
        <v>1</v>
      </c>
      <c r="AE36" s="13" t="n">
        <f aca="false">IF(AE$32=$Z36,1,0)</f>
        <v>0</v>
      </c>
      <c r="AF36" s="13" t="n">
        <f aca="false">IF(AF$32=$Z36,1,0)</f>
        <v>0</v>
      </c>
      <c r="AG36" s="13" t="n">
        <f aca="false">IF(AG$32=$Z36,1,0)</f>
        <v>0</v>
      </c>
      <c r="AH36" s="13" t="n">
        <f aca="false">IF(AH$32=$Z36,1,0)</f>
        <v>0</v>
      </c>
      <c r="AI36" s="13" t="n">
        <f aca="false">IF(AI$32=$Z36,1,0)</f>
        <v>0</v>
      </c>
      <c r="AJ36" s="13" t="n">
        <f aca="false">IF(AJ$32=$Z36,1,0)</f>
        <v>0</v>
      </c>
    </row>
    <row r="37" customFormat="false" ht="15" hidden="false" customHeight="false" outlineLevel="0" collapsed="false">
      <c r="B37" s="12" t="n">
        <v>5</v>
      </c>
      <c r="C37" s="13" t="n">
        <f aca="false">1</f>
        <v>1</v>
      </c>
      <c r="D37" s="13" t="n">
        <f aca="false">1</f>
        <v>1</v>
      </c>
      <c r="E37" s="13" t="n">
        <f aca="false">1</f>
        <v>1</v>
      </c>
      <c r="F37" s="13" t="n">
        <f aca="false">1</f>
        <v>1</v>
      </c>
      <c r="G37" s="13" t="n">
        <f aca="false">1</f>
        <v>1</v>
      </c>
      <c r="H37" s="13" t="n">
        <f aca="false">1</f>
        <v>1</v>
      </c>
      <c r="I37" s="13" t="n">
        <f aca="false">1</f>
        <v>1</v>
      </c>
      <c r="J37" s="13" t="n">
        <f aca="false">1</f>
        <v>1</v>
      </c>
      <c r="K37" s="13" t="n">
        <f aca="false">1</f>
        <v>1</v>
      </c>
      <c r="L37" s="13" t="n">
        <f aca="false">1</f>
        <v>1</v>
      </c>
      <c r="N37" s="12" t="n">
        <v>5</v>
      </c>
      <c r="O37" s="13" t="n">
        <f aca="false">IF(O$32&gt;=$N37,1,0)</f>
        <v>0</v>
      </c>
      <c r="P37" s="13" t="n">
        <f aca="false">IF(P$32&gt;=$N37,1,0)</f>
        <v>0</v>
      </c>
      <c r="Q37" s="13" t="n">
        <f aca="false">IF(Q$32&gt;=$N37,1,0)</f>
        <v>0</v>
      </c>
      <c r="R37" s="13" t="n">
        <f aca="false">IF(R$32&gt;=$N37,1,0)</f>
        <v>0</v>
      </c>
      <c r="S37" s="13" t="n">
        <f aca="false">IF(S$32&gt;=$N37,1,0)</f>
        <v>1</v>
      </c>
      <c r="T37" s="13" t="n">
        <f aca="false">IF(T$32&gt;=$N37,1,0)</f>
        <v>1</v>
      </c>
      <c r="U37" s="13" t="n">
        <f aca="false">IF(U$32&gt;=$N37,1,0)</f>
        <v>1</v>
      </c>
      <c r="V37" s="13" t="n">
        <f aca="false">IF(V$32&gt;=$N37,1,0)</f>
        <v>1</v>
      </c>
      <c r="W37" s="13" t="n">
        <f aca="false">IF(W$32&gt;=$N37,1,0)</f>
        <v>1</v>
      </c>
      <c r="X37" s="13" t="n">
        <f aca="false">IF(X$32&gt;=$N37,1,0)</f>
        <v>1</v>
      </c>
      <c r="Z37" s="12" t="n">
        <v>5</v>
      </c>
      <c r="AA37" s="13" t="n">
        <f aca="false">IF(AA$32=$Z37,1,0)</f>
        <v>0</v>
      </c>
      <c r="AB37" s="13" t="n">
        <f aca="false">IF(AB$32=$Z37,1,0)</f>
        <v>0</v>
      </c>
      <c r="AC37" s="13" t="n">
        <f aca="false">IF(AC$32=$Z37,1,0)</f>
        <v>0</v>
      </c>
      <c r="AD37" s="13" t="n">
        <f aca="false">IF(AD$32=$Z37,1,0)</f>
        <v>0</v>
      </c>
      <c r="AE37" s="13" t="n">
        <f aca="false">IF(AE$32=$Z37,1,0)</f>
        <v>1</v>
      </c>
      <c r="AF37" s="13" t="n">
        <f aca="false">IF(AF$32=$Z37,1,0)</f>
        <v>0</v>
      </c>
      <c r="AG37" s="13" t="n">
        <f aca="false">IF(AG$32=$Z37,1,0)</f>
        <v>0</v>
      </c>
      <c r="AH37" s="13" t="n">
        <f aca="false">IF(AH$32=$Z37,1,0)</f>
        <v>0</v>
      </c>
      <c r="AI37" s="13" t="n">
        <f aca="false">IF(AI$32=$Z37,1,0)</f>
        <v>0</v>
      </c>
      <c r="AJ37" s="13" t="n">
        <f aca="false">IF(AJ$32=$Z37,1,0)</f>
        <v>0</v>
      </c>
    </row>
    <row r="38" customFormat="false" ht="15" hidden="false" customHeight="false" outlineLevel="0" collapsed="false">
      <c r="B38" s="12" t="n">
        <v>6</v>
      </c>
      <c r="C38" s="13" t="n">
        <f aca="false">1</f>
        <v>1</v>
      </c>
      <c r="D38" s="13" t="n">
        <f aca="false">1</f>
        <v>1</v>
      </c>
      <c r="E38" s="13" t="n">
        <f aca="false">1</f>
        <v>1</v>
      </c>
      <c r="F38" s="13" t="n">
        <f aca="false">1</f>
        <v>1</v>
      </c>
      <c r="G38" s="13" t="n">
        <f aca="false">1</f>
        <v>1</v>
      </c>
      <c r="H38" s="13" t="n">
        <f aca="false">1</f>
        <v>1</v>
      </c>
      <c r="I38" s="13" t="n">
        <f aca="false">1</f>
        <v>1</v>
      </c>
      <c r="J38" s="13" t="n">
        <f aca="false">1</f>
        <v>1</v>
      </c>
      <c r="K38" s="13" t="n">
        <f aca="false">1</f>
        <v>1</v>
      </c>
      <c r="L38" s="13" t="n">
        <f aca="false">1</f>
        <v>1</v>
      </c>
      <c r="N38" s="12" t="n">
        <v>6</v>
      </c>
      <c r="O38" s="13" t="n">
        <f aca="false">IF(O$32&gt;=$N38,1,0)</f>
        <v>0</v>
      </c>
      <c r="P38" s="13" t="n">
        <f aca="false">IF(P$32&gt;=$N38,1,0)</f>
        <v>0</v>
      </c>
      <c r="Q38" s="13" t="n">
        <f aca="false">IF(Q$32&gt;=$N38,1,0)</f>
        <v>0</v>
      </c>
      <c r="R38" s="13" t="n">
        <f aca="false">IF(R$32&gt;=$N38,1,0)</f>
        <v>0</v>
      </c>
      <c r="S38" s="13" t="n">
        <f aca="false">IF(S$32&gt;=$N38,1,0)</f>
        <v>0</v>
      </c>
      <c r="T38" s="13" t="n">
        <f aca="false">IF(T$32&gt;=$N38,1,0)</f>
        <v>1</v>
      </c>
      <c r="U38" s="13" t="n">
        <f aca="false">IF(U$32&gt;=$N38,1,0)</f>
        <v>1</v>
      </c>
      <c r="V38" s="13" t="n">
        <f aca="false">IF(V$32&gt;=$N38,1,0)</f>
        <v>1</v>
      </c>
      <c r="W38" s="13" t="n">
        <f aca="false">IF(W$32&gt;=$N38,1,0)</f>
        <v>1</v>
      </c>
      <c r="X38" s="13" t="n">
        <f aca="false">IF(X$32&gt;=$N38,1,0)</f>
        <v>1</v>
      </c>
      <c r="Z38" s="12" t="n">
        <v>6</v>
      </c>
      <c r="AA38" s="13" t="n">
        <f aca="false">IF(AA$32=$Z38,1,0)</f>
        <v>0</v>
      </c>
      <c r="AB38" s="13" t="n">
        <f aca="false">IF(AB$32=$Z38,1,0)</f>
        <v>0</v>
      </c>
      <c r="AC38" s="13" t="n">
        <f aca="false">IF(AC$32=$Z38,1,0)</f>
        <v>0</v>
      </c>
      <c r="AD38" s="13" t="n">
        <f aca="false">IF(AD$32=$Z38,1,0)</f>
        <v>0</v>
      </c>
      <c r="AE38" s="13" t="n">
        <f aca="false">IF(AE$32=$Z38,1,0)</f>
        <v>0</v>
      </c>
      <c r="AF38" s="13" t="n">
        <f aca="false">IF(AF$32=$Z38,1,0)</f>
        <v>1</v>
      </c>
      <c r="AG38" s="13" t="n">
        <f aca="false">IF(AG$32=$Z38,1,0)</f>
        <v>0</v>
      </c>
      <c r="AH38" s="13" t="n">
        <f aca="false">IF(AH$32=$Z38,1,0)</f>
        <v>0</v>
      </c>
      <c r="AI38" s="13" t="n">
        <f aca="false">IF(AI$32=$Z38,1,0)</f>
        <v>0</v>
      </c>
      <c r="AJ38" s="13" t="n">
        <f aca="false">IF(AJ$32=$Z38,1,0)</f>
        <v>0</v>
      </c>
    </row>
    <row r="39" customFormat="false" ht="15" hidden="false" customHeight="false" outlineLevel="0" collapsed="false">
      <c r="B39" s="12" t="n">
        <v>7</v>
      </c>
      <c r="C39" s="13" t="n">
        <f aca="false">1</f>
        <v>1</v>
      </c>
      <c r="D39" s="13" t="n">
        <f aca="false">1</f>
        <v>1</v>
      </c>
      <c r="E39" s="13" t="n">
        <f aca="false">1</f>
        <v>1</v>
      </c>
      <c r="F39" s="13" t="n">
        <f aca="false">1</f>
        <v>1</v>
      </c>
      <c r="G39" s="13" t="n">
        <f aca="false">1</f>
        <v>1</v>
      </c>
      <c r="H39" s="13" t="n">
        <f aca="false">1</f>
        <v>1</v>
      </c>
      <c r="I39" s="13" t="n">
        <f aca="false">1</f>
        <v>1</v>
      </c>
      <c r="J39" s="13" t="n">
        <f aca="false">1</f>
        <v>1</v>
      </c>
      <c r="K39" s="13" t="n">
        <f aca="false">1</f>
        <v>1</v>
      </c>
      <c r="L39" s="13" t="n">
        <f aca="false">1</f>
        <v>1</v>
      </c>
      <c r="N39" s="12" t="n">
        <v>7</v>
      </c>
      <c r="O39" s="13" t="n">
        <f aca="false">IF(O$32&gt;=$N39,1,0)</f>
        <v>0</v>
      </c>
      <c r="P39" s="13" t="n">
        <f aca="false">IF(P$32&gt;=$N39,1,0)</f>
        <v>0</v>
      </c>
      <c r="Q39" s="13" t="n">
        <f aca="false">IF(Q$32&gt;=$N39,1,0)</f>
        <v>0</v>
      </c>
      <c r="R39" s="13" t="n">
        <f aca="false">IF(R$32&gt;=$N39,1,0)</f>
        <v>0</v>
      </c>
      <c r="S39" s="13" t="n">
        <f aca="false">IF(S$32&gt;=$N39,1,0)</f>
        <v>0</v>
      </c>
      <c r="T39" s="13" t="n">
        <f aca="false">IF(T$32&gt;=$N39,1,0)</f>
        <v>0</v>
      </c>
      <c r="U39" s="13" t="n">
        <f aca="false">IF(U$32&gt;=$N39,1,0)</f>
        <v>1</v>
      </c>
      <c r="V39" s="13" t="n">
        <f aca="false">IF(V$32&gt;=$N39,1,0)</f>
        <v>1</v>
      </c>
      <c r="W39" s="13" t="n">
        <f aca="false">IF(W$32&gt;=$N39,1,0)</f>
        <v>1</v>
      </c>
      <c r="X39" s="13" t="n">
        <f aca="false">IF(X$32&gt;=$N39,1,0)</f>
        <v>1</v>
      </c>
      <c r="Z39" s="12" t="n">
        <v>7</v>
      </c>
      <c r="AA39" s="13" t="n">
        <f aca="false">IF(AA$32=$Z39,1,0)</f>
        <v>0</v>
      </c>
      <c r="AB39" s="13" t="n">
        <f aca="false">IF(AB$32=$Z39,1,0)</f>
        <v>0</v>
      </c>
      <c r="AC39" s="13" t="n">
        <f aca="false">IF(AC$32=$Z39,1,0)</f>
        <v>0</v>
      </c>
      <c r="AD39" s="13" t="n">
        <f aca="false">IF(AD$32=$Z39,1,0)</f>
        <v>0</v>
      </c>
      <c r="AE39" s="13" t="n">
        <f aca="false">IF(AE$32=$Z39,1,0)</f>
        <v>0</v>
      </c>
      <c r="AF39" s="13" t="n">
        <f aca="false">IF(AF$32=$Z39,1,0)</f>
        <v>0</v>
      </c>
      <c r="AG39" s="13" t="n">
        <f aca="false">IF(AG$32=$Z39,1,0)</f>
        <v>1</v>
      </c>
      <c r="AH39" s="13" t="n">
        <f aca="false">IF(AH$32=$Z39,1,0)</f>
        <v>0</v>
      </c>
      <c r="AI39" s="13" t="n">
        <f aca="false">IF(AI$32=$Z39,1,0)</f>
        <v>0</v>
      </c>
      <c r="AJ39" s="13" t="n">
        <f aca="false">IF(AJ$32=$Z39,1,0)</f>
        <v>0</v>
      </c>
    </row>
    <row r="40" customFormat="false" ht="15" hidden="false" customHeight="false" outlineLevel="0" collapsed="false">
      <c r="B40" s="12" t="n">
        <v>8</v>
      </c>
      <c r="C40" s="13" t="n">
        <f aca="false">1</f>
        <v>1</v>
      </c>
      <c r="D40" s="13" t="n">
        <f aca="false">1</f>
        <v>1</v>
      </c>
      <c r="E40" s="13" t="n">
        <f aca="false">1</f>
        <v>1</v>
      </c>
      <c r="F40" s="13" t="n">
        <f aca="false">1</f>
        <v>1</v>
      </c>
      <c r="G40" s="13" t="n">
        <f aca="false">1</f>
        <v>1</v>
      </c>
      <c r="H40" s="13" t="n">
        <f aca="false">1</f>
        <v>1</v>
      </c>
      <c r="I40" s="13" t="n">
        <f aca="false">1</f>
        <v>1</v>
      </c>
      <c r="J40" s="13" t="n">
        <f aca="false">1</f>
        <v>1</v>
      </c>
      <c r="K40" s="13" t="n">
        <f aca="false">1</f>
        <v>1</v>
      </c>
      <c r="L40" s="13" t="n">
        <f aca="false">1</f>
        <v>1</v>
      </c>
      <c r="N40" s="12" t="n">
        <v>8</v>
      </c>
      <c r="O40" s="13" t="n">
        <f aca="false">IF(O$32&gt;=$N40,1,0)</f>
        <v>0</v>
      </c>
      <c r="P40" s="13" t="n">
        <f aca="false">IF(P$32&gt;=$N40,1,0)</f>
        <v>0</v>
      </c>
      <c r="Q40" s="13" t="n">
        <f aca="false">IF(Q$32&gt;=$N40,1,0)</f>
        <v>0</v>
      </c>
      <c r="R40" s="13" t="n">
        <f aca="false">IF(R$32&gt;=$N40,1,0)</f>
        <v>0</v>
      </c>
      <c r="S40" s="13" t="n">
        <f aca="false">IF(S$32&gt;=$N40,1,0)</f>
        <v>0</v>
      </c>
      <c r="T40" s="13" t="n">
        <f aca="false">IF(T$32&gt;=$N40,1,0)</f>
        <v>0</v>
      </c>
      <c r="U40" s="13" t="n">
        <f aca="false">IF(U$32&gt;=$N40,1,0)</f>
        <v>0</v>
      </c>
      <c r="V40" s="13" t="n">
        <f aca="false">IF(V$32&gt;=$N40,1,0)</f>
        <v>1</v>
      </c>
      <c r="W40" s="13" t="n">
        <f aca="false">IF(W$32&gt;=$N40,1,0)</f>
        <v>1</v>
      </c>
      <c r="X40" s="13" t="n">
        <f aca="false">IF(X$32&gt;=$N40,1,0)</f>
        <v>1</v>
      </c>
      <c r="Z40" s="12" t="n">
        <v>8</v>
      </c>
      <c r="AA40" s="13" t="n">
        <f aca="false">IF(AA$32=$Z40,1,0)</f>
        <v>0</v>
      </c>
      <c r="AB40" s="13" t="n">
        <f aca="false">IF(AB$32=$Z40,1,0)</f>
        <v>0</v>
      </c>
      <c r="AC40" s="13" t="n">
        <f aca="false">IF(AC$32=$Z40,1,0)</f>
        <v>0</v>
      </c>
      <c r="AD40" s="13" t="n">
        <f aca="false">IF(AD$32=$Z40,1,0)</f>
        <v>0</v>
      </c>
      <c r="AE40" s="13" t="n">
        <f aca="false">IF(AE$32=$Z40,1,0)</f>
        <v>0</v>
      </c>
      <c r="AF40" s="13" t="n">
        <f aca="false">IF(AF$32=$Z40,1,0)</f>
        <v>0</v>
      </c>
      <c r="AG40" s="13" t="n">
        <f aca="false">IF(AG$32=$Z40,1,0)</f>
        <v>0</v>
      </c>
      <c r="AH40" s="13" t="n">
        <f aca="false">IF(AH$32=$Z40,1,0)</f>
        <v>1</v>
      </c>
      <c r="AI40" s="13" t="n">
        <f aca="false">IF(AI$32=$Z40,1,0)</f>
        <v>0</v>
      </c>
      <c r="AJ40" s="13" t="n">
        <f aca="false">IF(AJ$32=$Z40,1,0)</f>
        <v>0</v>
      </c>
    </row>
    <row r="41" customFormat="false" ht="15" hidden="false" customHeight="false" outlineLevel="0" collapsed="false">
      <c r="B41" s="12" t="n">
        <v>9</v>
      </c>
      <c r="C41" s="13" t="n">
        <f aca="false">1</f>
        <v>1</v>
      </c>
      <c r="D41" s="13" t="n">
        <f aca="false">1</f>
        <v>1</v>
      </c>
      <c r="E41" s="13" t="n">
        <f aca="false">1</f>
        <v>1</v>
      </c>
      <c r="F41" s="13" t="n">
        <f aca="false">1</f>
        <v>1</v>
      </c>
      <c r="G41" s="13" t="n">
        <f aca="false">1</f>
        <v>1</v>
      </c>
      <c r="H41" s="13" t="n">
        <f aca="false">1</f>
        <v>1</v>
      </c>
      <c r="I41" s="13" t="n">
        <f aca="false">1</f>
        <v>1</v>
      </c>
      <c r="J41" s="13" t="n">
        <f aca="false">1</f>
        <v>1</v>
      </c>
      <c r="K41" s="13" t="n">
        <f aca="false">1</f>
        <v>1</v>
      </c>
      <c r="L41" s="13" t="n">
        <f aca="false">1</f>
        <v>1</v>
      </c>
      <c r="N41" s="12" t="n">
        <v>9</v>
      </c>
      <c r="O41" s="13" t="n">
        <f aca="false">IF(O$32&gt;=$N41,1,0)</f>
        <v>0</v>
      </c>
      <c r="P41" s="13" t="n">
        <f aca="false">IF(P$32&gt;=$N41,1,0)</f>
        <v>0</v>
      </c>
      <c r="Q41" s="13" t="n">
        <f aca="false">IF(Q$32&gt;=$N41,1,0)</f>
        <v>0</v>
      </c>
      <c r="R41" s="13" t="n">
        <f aca="false">IF(R$32&gt;=$N41,1,0)</f>
        <v>0</v>
      </c>
      <c r="S41" s="13" t="n">
        <f aca="false">IF(S$32&gt;=$N41,1,0)</f>
        <v>0</v>
      </c>
      <c r="T41" s="13" t="n">
        <f aca="false">IF(T$32&gt;=$N41,1,0)</f>
        <v>0</v>
      </c>
      <c r="U41" s="13" t="n">
        <f aca="false">IF(U$32&gt;=$N41,1,0)</f>
        <v>0</v>
      </c>
      <c r="V41" s="13" t="n">
        <f aca="false">IF(V$32&gt;=$N41,1,0)</f>
        <v>0</v>
      </c>
      <c r="W41" s="13" t="n">
        <f aca="false">IF(W$32&gt;=$N41,1,0)</f>
        <v>1</v>
      </c>
      <c r="X41" s="13" t="n">
        <f aca="false">IF(X$32&gt;=$N41,1,0)</f>
        <v>1</v>
      </c>
      <c r="Z41" s="12" t="n">
        <v>9</v>
      </c>
      <c r="AA41" s="13" t="n">
        <f aca="false">IF(AA$32=$Z41,1,0)</f>
        <v>0</v>
      </c>
      <c r="AB41" s="13" t="n">
        <f aca="false">IF(AB$32=$Z41,1,0)</f>
        <v>0</v>
      </c>
      <c r="AC41" s="13" t="n">
        <f aca="false">IF(AC$32=$Z41,1,0)</f>
        <v>0</v>
      </c>
      <c r="AD41" s="13" t="n">
        <f aca="false">IF(AD$32=$Z41,1,0)</f>
        <v>0</v>
      </c>
      <c r="AE41" s="13" t="n">
        <f aca="false">IF(AE$32=$Z41,1,0)</f>
        <v>0</v>
      </c>
      <c r="AF41" s="13" t="n">
        <f aca="false">IF(AF$32=$Z41,1,0)</f>
        <v>0</v>
      </c>
      <c r="AG41" s="13" t="n">
        <f aca="false">IF(AG$32=$Z41,1,0)</f>
        <v>0</v>
      </c>
      <c r="AH41" s="13" t="n">
        <f aca="false">IF(AH$32=$Z41,1,0)</f>
        <v>0</v>
      </c>
      <c r="AI41" s="13" t="n">
        <f aca="false">IF(AI$32=$Z41,1,0)</f>
        <v>1</v>
      </c>
      <c r="AJ41" s="13" t="n">
        <f aca="false">IF(AJ$32=$Z41,1,0)</f>
        <v>0</v>
      </c>
    </row>
    <row r="42" customFormat="false" ht="15" hidden="false" customHeight="false" outlineLevel="0" collapsed="false">
      <c r="B42" s="12" t="n">
        <v>10</v>
      </c>
      <c r="C42" s="13" t="n">
        <f aca="false">1</f>
        <v>1</v>
      </c>
      <c r="D42" s="13" t="n">
        <f aca="false">1</f>
        <v>1</v>
      </c>
      <c r="E42" s="13" t="n">
        <f aca="false">1</f>
        <v>1</v>
      </c>
      <c r="F42" s="13" t="n">
        <f aca="false">1</f>
        <v>1</v>
      </c>
      <c r="G42" s="13" t="n">
        <f aca="false">1</f>
        <v>1</v>
      </c>
      <c r="H42" s="13" t="n">
        <f aca="false">1</f>
        <v>1</v>
      </c>
      <c r="I42" s="13" t="n">
        <f aca="false">1</f>
        <v>1</v>
      </c>
      <c r="J42" s="13" t="n">
        <f aca="false">1</f>
        <v>1</v>
      </c>
      <c r="K42" s="13" t="n">
        <f aca="false">1</f>
        <v>1</v>
      </c>
      <c r="L42" s="13" t="n">
        <f aca="false">1</f>
        <v>1</v>
      </c>
      <c r="N42" s="12" t="n">
        <v>10</v>
      </c>
      <c r="O42" s="13" t="n">
        <f aca="false">IF(O$32&gt;=$N42,1,0)</f>
        <v>0</v>
      </c>
      <c r="P42" s="13" t="n">
        <f aca="false">IF(P$32&gt;=$N42,1,0)</f>
        <v>0</v>
      </c>
      <c r="Q42" s="13" t="n">
        <f aca="false">IF(Q$32&gt;=$N42,1,0)</f>
        <v>0</v>
      </c>
      <c r="R42" s="13" t="n">
        <f aca="false">IF(R$32&gt;=$N42,1,0)</f>
        <v>0</v>
      </c>
      <c r="S42" s="13" t="n">
        <f aca="false">IF(S$32&gt;=$N42,1,0)</f>
        <v>0</v>
      </c>
      <c r="T42" s="13" t="n">
        <f aca="false">IF(T$32&gt;=$N42,1,0)</f>
        <v>0</v>
      </c>
      <c r="U42" s="13" t="n">
        <f aca="false">IF(U$32&gt;=$N42,1,0)</f>
        <v>0</v>
      </c>
      <c r="V42" s="13" t="n">
        <f aca="false">IF(V$32&gt;=$N42,1,0)</f>
        <v>0</v>
      </c>
      <c r="W42" s="13" t="n">
        <f aca="false">IF(W$32&gt;=$N42,1,0)</f>
        <v>0</v>
      </c>
      <c r="X42" s="13" t="n">
        <f aca="false">IF(X$32&gt;=$N42,1,0)</f>
        <v>1</v>
      </c>
      <c r="Z42" s="12" t="n">
        <v>10</v>
      </c>
      <c r="AA42" s="13" t="n">
        <f aca="false">IF(AA$32=$Z42,1,0)</f>
        <v>0</v>
      </c>
      <c r="AB42" s="13" t="n">
        <f aca="false">IF(AB$32=$Z42,1,0)</f>
        <v>0</v>
      </c>
      <c r="AC42" s="13" t="n">
        <f aca="false">IF(AC$32=$Z42,1,0)</f>
        <v>0</v>
      </c>
      <c r="AD42" s="13" t="n">
        <f aca="false">IF(AD$32=$Z42,1,0)</f>
        <v>0</v>
      </c>
      <c r="AE42" s="13" t="n">
        <f aca="false">IF(AE$32=$Z42,1,0)</f>
        <v>0</v>
      </c>
      <c r="AF42" s="13" t="n">
        <f aca="false">IF(AF$32=$Z42,1,0)</f>
        <v>0</v>
      </c>
      <c r="AG42" s="13" t="n">
        <f aca="false">IF(AG$32=$Z42,1,0)</f>
        <v>0</v>
      </c>
      <c r="AH42" s="13" t="n">
        <f aca="false">IF(AH$32=$Z42,1,0)</f>
        <v>0</v>
      </c>
      <c r="AI42" s="13" t="n">
        <f aca="false">IF(AI$32=$Z42,1,0)</f>
        <v>0</v>
      </c>
      <c r="AJ42" s="13" t="n">
        <f aca="false">IF(AJ$32=$Z42,1,0)</f>
        <v>1</v>
      </c>
    </row>
    <row r="45" customFormat="false" ht="15" hidden="false" customHeight="false" outlineLevel="0" collapsed="false">
      <c r="A45" s="3" t="s">
        <v>178</v>
      </c>
    </row>
    <row r="46" customFormat="false" ht="35.05" hidden="false" customHeight="false" outlineLevel="0" collapsed="false">
      <c r="A46" s="4" t="s">
        <v>179</v>
      </c>
      <c r="B46" s="12" t="n">
        <v>1</v>
      </c>
      <c r="C46" s="12" t="n">
        <v>2</v>
      </c>
      <c r="D46" s="12" t="n">
        <v>3</v>
      </c>
      <c r="E46" s="12" t="n">
        <v>4</v>
      </c>
      <c r="F46" s="12" t="n">
        <v>5</v>
      </c>
      <c r="G46" s="12" t="n">
        <v>6</v>
      </c>
      <c r="H46" s="12" t="n">
        <v>7</v>
      </c>
      <c r="I46" s="12" t="n">
        <v>8</v>
      </c>
      <c r="J46" s="12" t="n">
        <v>9</v>
      </c>
      <c r="K46" s="12" t="n">
        <v>10</v>
      </c>
      <c r="L46" s="4" t="s">
        <v>180</v>
      </c>
    </row>
    <row r="47" customFormat="false" ht="15" hidden="false" customHeight="false" outlineLevel="0" collapsed="false">
      <c r="A47" s="6" t="s">
        <v>181</v>
      </c>
      <c r="B47" s="14" t="n">
        <f aca="false">B$46/10</f>
        <v>0.1</v>
      </c>
      <c r="C47" s="14" t="n">
        <f aca="false">C$46/10</f>
        <v>0.2</v>
      </c>
      <c r="D47" s="14" t="n">
        <f aca="false">D$46/10</f>
        <v>0.3</v>
      </c>
      <c r="E47" s="14" t="n">
        <f aca="false">E$46/10</f>
        <v>0.4</v>
      </c>
      <c r="F47" s="14" t="n">
        <f aca="false">F$46/10</f>
        <v>0.5</v>
      </c>
      <c r="G47" s="14" t="n">
        <f aca="false">G$46/10</f>
        <v>0.6</v>
      </c>
      <c r="H47" s="14" t="n">
        <f aca="false">H$46/10</f>
        <v>0.7</v>
      </c>
      <c r="I47" s="14" t="n">
        <f aca="false">I$46/10</f>
        <v>0.8</v>
      </c>
      <c r="J47" s="14" t="n">
        <f aca="false">J$46/10</f>
        <v>0.9</v>
      </c>
      <c r="K47" s="14" t="n">
        <f aca="false">K$46/10</f>
        <v>1</v>
      </c>
      <c r="L47" s="15" t="n">
        <f aca="false">SUM(B47:K47)</f>
        <v>5.5</v>
      </c>
    </row>
    <row r="48" customFormat="false" ht="15" hidden="false" customHeight="false" outlineLevel="0" collapsed="false">
      <c r="A48" s="6" t="s">
        <v>182</v>
      </c>
      <c r="B48" s="14" t="n">
        <f aca="false">0.55</f>
        <v>0.55</v>
      </c>
      <c r="C48" s="14" t="n">
        <f aca="false">0.55</f>
        <v>0.55</v>
      </c>
      <c r="D48" s="14" t="n">
        <f aca="false">0.55</f>
        <v>0.55</v>
      </c>
      <c r="E48" s="14" t="n">
        <f aca="false">0.55</f>
        <v>0.55</v>
      </c>
      <c r="F48" s="14" t="n">
        <f aca="false">0.55</f>
        <v>0.55</v>
      </c>
      <c r="G48" s="14" t="n">
        <f aca="false">0.55</f>
        <v>0.55</v>
      </c>
      <c r="H48" s="14" t="n">
        <f aca="false">0.55</f>
        <v>0.55</v>
      </c>
      <c r="I48" s="14" t="n">
        <f aca="false">0.55</f>
        <v>0.55</v>
      </c>
      <c r="J48" s="14" t="n">
        <f aca="false">0.55</f>
        <v>0.55</v>
      </c>
      <c r="K48" s="14" t="n">
        <f aca="false">0.55</f>
        <v>0.55</v>
      </c>
      <c r="L48" s="15" t="n">
        <f aca="false">SUM(B48:K48)</f>
        <v>5.5</v>
      </c>
    </row>
    <row r="49" customFormat="false" ht="15" hidden="false" customHeight="false" outlineLevel="0" collapsed="false">
      <c r="A49" s="6" t="s">
        <v>183</v>
      </c>
      <c r="B49" s="14" t="n">
        <f aca="false">(11-B$46)/10</f>
        <v>1</v>
      </c>
      <c r="C49" s="14" t="n">
        <f aca="false">(11-C$46)/10</f>
        <v>0.9</v>
      </c>
      <c r="D49" s="14" t="n">
        <f aca="false">(11-D$46)/10</f>
        <v>0.8</v>
      </c>
      <c r="E49" s="14" t="n">
        <f aca="false">(11-E$46)/10</f>
        <v>0.7</v>
      </c>
      <c r="F49" s="14" t="n">
        <f aca="false">(11-F$46)/10</f>
        <v>0.6</v>
      </c>
      <c r="G49" s="14" t="n">
        <f aca="false">(11-G$46)/10</f>
        <v>0.5</v>
      </c>
      <c r="H49" s="14" t="n">
        <f aca="false">(11-H$46)/10</f>
        <v>0.4</v>
      </c>
      <c r="I49" s="14" t="n">
        <f aca="false">(11-I$46)/10</f>
        <v>0.3</v>
      </c>
      <c r="J49" s="14" t="n">
        <f aca="false">(11-J$46)/10</f>
        <v>0.2</v>
      </c>
      <c r="K49" s="14" t="n">
        <f aca="false">(11-K$46)/10</f>
        <v>0.1</v>
      </c>
      <c r="L49" s="15" t="n">
        <f aca="false">SUM(B49:K49)</f>
        <v>5.5</v>
      </c>
    </row>
    <row r="52" customFormat="false" ht="15" hidden="false" customHeight="false" outlineLevel="0" collapsed="false">
      <c r="A52" s="3" t="s">
        <v>184</v>
      </c>
    </row>
    <row r="53" customFormat="false" ht="15" hidden="false" customHeight="false" outlineLevel="0" collapsed="false">
      <c r="A53" s="2" t="s">
        <v>185</v>
      </c>
    </row>
    <row r="54" customFormat="false" ht="15" hidden="false" customHeight="false" outlineLevel="0" collapsed="false">
      <c r="A54" s="4" t="s">
        <v>186</v>
      </c>
      <c r="B54" s="12" t="n">
        <v>1</v>
      </c>
      <c r="C54" s="12" t="n">
        <v>2</v>
      </c>
      <c r="D54" s="12" t="n">
        <v>3</v>
      </c>
      <c r="E54" s="12" t="n">
        <v>4</v>
      </c>
      <c r="F54" s="12" t="n">
        <v>5</v>
      </c>
      <c r="G54" s="12" t="n">
        <v>6</v>
      </c>
      <c r="H54" s="12" t="n">
        <v>7</v>
      </c>
      <c r="I54" s="12" t="n">
        <v>8</v>
      </c>
      <c r="J54" s="12" t="n">
        <v>9</v>
      </c>
      <c r="K54" s="12" t="n">
        <v>10</v>
      </c>
      <c r="L54" s="12" t="n">
        <v>11</v>
      </c>
      <c r="M54" s="12" t="n">
        <v>12</v>
      </c>
      <c r="N54" s="12" t="n">
        <v>13</v>
      </c>
      <c r="O54" s="12" t="n">
        <v>14</v>
      </c>
      <c r="P54" s="12" t="n">
        <v>15</v>
      </c>
      <c r="Q54" s="12" t="n">
        <v>16</v>
      </c>
      <c r="R54" s="12" t="n">
        <v>17</v>
      </c>
      <c r="S54" s="12" t="n">
        <v>18</v>
      </c>
      <c r="T54" s="12" t="n">
        <v>19</v>
      </c>
      <c r="U54" s="12" t="n">
        <v>20</v>
      </c>
    </row>
    <row r="55" customFormat="false" ht="15" hidden="false" customHeight="false" outlineLevel="0" collapsed="false">
      <c r="A55" s="6" t="s">
        <v>187</v>
      </c>
      <c r="B55" s="16" t="n">
        <v>10</v>
      </c>
      <c r="C55" s="16" t="n">
        <v>7</v>
      </c>
      <c r="D55" s="16" t="n">
        <v>9</v>
      </c>
      <c r="E55" s="16" t="n">
        <v>5</v>
      </c>
      <c r="F55" s="16" t="n">
        <v>2</v>
      </c>
      <c r="G55" s="16" t="n">
        <v>3</v>
      </c>
      <c r="H55" s="16" t="n">
        <v>4</v>
      </c>
      <c r="I55" s="16" t="n">
        <v>1</v>
      </c>
      <c r="J55" s="16" t="n">
        <v>6</v>
      </c>
      <c r="K55" s="16" t="n">
        <v>8</v>
      </c>
    </row>
    <row r="56" customFormat="false" ht="15" hidden="false" customHeight="false" outlineLevel="0" collapsed="false">
      <c r="A56" s="6" t="s">
        <v>188</v>
      </c>
      <c r="B56" s="16" t="n">
        <v>6</v>
      </c>
      <c r="C56" s="16" t="n">
        <v>5</v>
      </c>
      <c r="D56" s="16" t="n">
        <v>2</v>
      </c>
      <c r="E56" s="16" t="n">
        <v>10</v>
      </c>
      <c r="F56" s="16" t="n">
        <v>8</v>
      </c>
      <c r="G56" s="16" t="n">
        <v>9</v>
      </c>
      <c r="H56" s="16" t="n">
        <v>7</v>
      </c>
      <c r="I56" s="16" t="n">
        <v>4</v>
      </c>
      <c r="J56" s="16" t="n">
        <v>1</v>
      </c>
      <c r="K56" s="16" t="n">
        <v>3</v>
      </c>
    </row>
    <row r="57" customFormat="false" ht="15" hidden="false" customHeight="false" outlineLevel="0" collapsed="false">
      <c r="A57" s="6" t="s">
        <v>189</v>
      </c>
      <c r="B57" s="16" t="n">
        <v>8</v>
      </c>
      <c r="C57" s="16" t="n">
        <v>20</v>
      </c>
      <c r="D57" s="16" t="n">
        <v>14</v>
      </c>
      <c r="E57" s="16" t="n">
        <v>16</v>
      </c>
      <c r="F57" s="16" t="n">
        <v>6</v>
      </c>
      <c r="G57" s="16" t="n">
        <v>7</v>
      </c>
      <c r="H57" s="16" t="n">
        <v>15</v>
      </c>
      <c r="I57" s="16" t="n">
        <v>17</v>
      </c>
      <c r="J57" s="16" t="n">
        <v>2</v>
      </c>
      <c r="K57" s="16" t="n">
        <v>13</v>
      </c>
      <c r="L57" s="16" t="n">
        <v>11</v>
      </c>
      <c r="M57" s="16" t="n">
        <v>19</v>
      </c>
      <c r="N57" s="16" t="n">
        <v>4</v>
      </c>
      <c r="O57" s="16" t="n">
        <v>9</v>
      </c>
      <c r="P57" s="16" t="n">
        <v>3</v>
      </c>
      <c r="Q57" s="16" t="n">
        <v>12</v>
      </c>
      <c r="R57" s="16" t="n">
        <v>1</v>
      </c>
      <c r="S57" s="16" t="n">
        <v>10</v>
      </c>
      <c r="T57" s="16" t="n">
        <v>5</v>
      </c>
      <c r="U57" s="16" t="n">
        <v>18</v>
      </c>
    </row>
    <row r="58" customFormat="false" ht="15" hidden="false" customHeight="false" outlineLevel="0" collapsed="false">
      <c r="A58" s="6" t="s">
        <v>190</v>
      </c>
      <c r="B58" s="16" t="n">
        <v>4</v>
      </c>
      <c r="C58" s="16" t="n">
        <v>14</v>
      </c>
      <c r="D58" s="16" t="n">
        <v>11</v>
      </c>
      <c r="E58" s="16" t="n">
        <v>20</v>
      </c>
      <c r="F58" s="16" t="n">
        <v>3</v>
      </c>
      <c r="G58" s="16" t="n">
        <v>5</v>
      </c>
      <c r="H58" s="16" t="n">
        <v>2</v>
      </c>
      <c r="I58" s="16" t="n">
        <v>12</v>
      </c>
      <c r="J58" s="16" t="n">
        <v>1</v>
      </c>
      <c r="K58" s="16" t="n">
        <v>6</v>
      </c>
      <c r="L58" s="16" t="n">
        <v>8</v>
      </c>
      <c r="M58" s="16" t="n">
        <v>19</v>
      </c>
      <c r="N58" s="16" t="n">
        <v>7</v>
      </c>
      <c r="O58" s="16" t="n">
        <v>15</v>
      </c>
      <c r="P58" s="16" t="n">
        <v>16</v>
      </c>
      <c r="Q58" s="16" t="n">
        <v>17</v>
      </c>
      <c r="R58" s="16" t="n">
        <v>10</v>
      </c>
      <c r="S58" s="16" t="n">
        <v>18</v>
      </c>
      <c r="T58" s="16" t="n">
        <v>9</v>
      </c>
      <c r="U58" s="16" t="n">
        <v>13</v>
      </c>
    </row>
    <row r="60" customFormat="false" ht="23.85" hidden="false" customHeight="false" outlineLevel="0" collapsed="false">
      <c r="A60" s="4" t="s">
        <v>191</v>
      </c>
      <c r="B60" s="12" t="n">
        <v>1</v>
      </c>
      <c r="C60" s="12" t="n">
        <v>2</v>
      </c>
      <c r="D60" s="12" t="n">
        <v>3</v>
      </c>
      <c r="E60" s="12" t="n">
        <v>4</v>
      </c>
      <c r="F60" s="12" t="n">
        <v>5</v>
      </c>
      <c r="G60" s="12" t="n">
        <v>6</v>
      </c>
      <c r="H60" s="12" t="n">
        <v>7</v>
      </c>
      <c r="I60" s="12" t="n">
        <v>8</v>
      </c>
      <c r="J60" s="12" t="n">
        <v>9</v>
      </c>
      <c r="K60" s="12" t="n">
        <v>10</v>
      </c>
      <c r="L60" s="12" t="n">
        <v>11</v>
      </c>
      <c r="M60" s="12" t="n">
        <v>12</v>
      </c>
      <c r="N60" s="12" t="n">
        <v>13</v>
      </c>
      <c r="O60" s="12" t="n">
        <v>14</v>
      </c>
      <c r="P60" s="12" t="n">
        <v>15</v>
      </c>
      <c r="Q60" s="12" t="n">
        <v>16</v>
      </c>
      <c r="R60" s="12" t="n">
        <v>17</v>
      </c>
      <c r="S60" s="12" t="n">
        <v>18</v>
      </c>
      <c r="T60" s="12" t="n">
        <v>19</v>
      </c>
      <c r="U60" s="12" t="n">
        <v>20</v>
      </c>
    </row>
    <row r="61" customFormat="false" ht="23.85" hidden="false" customHeight="false" outlineLevel="0" collapsed="false">
      <c r="A61" s="6" t="s">
        <v>192</v>
      </c>
      <c r="B61" s="13" t="n">
        <f aca="false">MATCH(B$60,$B$55:$K$55,0)</f>
        <v>8</v>
      </c>
      <c r="C61" s="13" t="n">
        <f aca="false">MATCH(C$60,$B$55:$K$55,0)</f>
        <v>5</v>
      </c>
      <c r="D61" s="13" t="n">
        <f aca="false">MATCH(D$60,$B$55:$K$55,0)</f>
        <v>6</v>
      </c>
      <c r="E61" s="13" t="n">
        <f aca="false">MATCH(E$60,$B$55:$K$55,0)</f>
        <v>7</v>
      </c>
      <c r="F61" s="13" t="n">
        <f aca="false">MATCH(F$60,$B$55:$K$55,0)</f>
        <v>4</v>
      </c>
      <c r="G61" s="13" t="n">
        <f aca="false">MATCH(G$60,$B$55:$K$55,0)</f>
        <v>9</v>
      </c>
      <c r="H61" s="13" t="n">
        <f aca="false">MATCH(H$60,$B$55:$K$55,0)</f>
        <v>2</v>
      </c>
      <c r="I61" s="13" t="n">
        <f aca="false">MATCH(I$60,$B$55:$K$55,0)</f>
        <v>10</v>
      </c>
      <c r="J61" s="13" t="n">
        <f aca="false">MATCH(J$60,$B$55:$K$55,0)</f>
        <v>3</v>
      </c>
      <c r="K61" s="13" t="n">
        <f aca="false">MATCH(K$60,$B$55:$K$55,0)</f>
        <v>1</v>
      </c>
    </row>
    <row r="62" customFormat="false" ht="23.85" hidden="false" customHeight="false" outlineLevel="0" collapsed="false">
      <c r="A62" s="6" t="s">
        <v>193</v>
      </c>
      <c r="B62" s="13" t="n">
        <f aca="false">MATCH(B$60,$B$56:$K$56,0)</f>
        <v>9</v>
      </c>
      <c r="C62" s="13" t="n">
        <f aca="false">MATCH(C$60,$B$56:$K$56,0)</f>
        <v>3</v>
      </c>
      <c r="D62" s="13" t="n">
        <f aca="false">MATCH(D$60,$B$56:$K$56,0)</f>
        <v>10</v>
      </c>
      <c r="E62" s="13" t="n">
        <f aca="false">MATCH(E$60,$B$56:$K$56,0)</f>
        <v>8</v>
      </c>
      <c r="F62" s="13" t="n">
        <f aca="false">MATCH(F$60,$B$56:$K$56,0)</f>
        <v>2</v>
      </c>
      <c r="G62" s="13" t="n">
        <f aca="false">MATCH(G$60,$B$56:$K$56,0)</f>
        <v>1</v>
      </c>
      <c r="H62" s="13" t="n">
        <f aca="false">MATCH(H$60,$B$56:$K$56,0)</f>
        <v>7</v>
      </c>
      <c r="I62" s="13" t="n">
        <f aca="false">MATCH(I$60,$B$56:$K$56,0)</f>
        <v>5</v>
      </c>
      <c r="J62" s="13" t="n">
        <f aca="false">MATCH(J$60,$B$56:$K$56,0)</f>
        <v>6</v>
      </c>
      <c r="K62" s="13" t="n">
        <f aca="false">MATCH(K$60,$B$56:$K$56,0)</f>
        <v>4</v>
      </c>
    </row>
    <row r="63" customFormat="false" ht="23.85" hidden="false" customHeight="false" outlineLevel="0" collapsed="false">
      <c r="A63" s="6" t="s">
        <v>194</v>
      </c>
      <c r="B63" s="13" t="n">
        <f aca="false">ROUNDUP(MATCH(B$60,$B$57:$U$57,0)/2,0)</f>
        <v>9</v>
      </c>
      <c r="C63" s="13" t="n">
        <f aca="false">ROUNDUP(MATCH(C$60,$B$57:$U$57,0)/2,0)</f>
        <v>5</v>
      </c>
      <c r="D63" s="13" t="n">
        <f aca="false">ROUNDUP(MATCH(D$60,$B$57:$U$57,0)/2,0)</f>
        <v>8</v>
      </c>
      <c r="E63" s="13" t="n">
        <f aca="false">ROUNDUP(MATCH(E$60,$B$57:$U$57,0)/2,0)</f>
        <v>7</v>
      </c>
      <c r="F63" s="13" t="n">
        <f aca="false">ROUNDUP(MATCH(F$60,$B$57:$U$57,0)/2,0)</f>
        <v>10</v>
      </c>
      <c r="G63" s="13" t="n">
        <f aca="false">ROUNDUP(MATCH(G$60,$B$57:$U$57,0)/2,0)</f>
        <v>3</v>
      </c>
      <c r="H63" s="13" t="n">
        <f aca="false">ROUNDUP(MATCH(H$60,$B$57:$U$57,0)/2,0)</f>
        <v>3</v>
      </c>
      <c r="I63" s="13" t="n">
        <f aca="false">ROUNDUP(MATCH(I$60,$B$57:$U$57,0)/2,0)</f>
        <v>1</v>
      </c>
      <c r="J63" s="13" t="n">
        <f aca="false">ROUNDUP(MATCH(J$60,$B$57:$U$57,0)/2,0)</f>
        <v>7</v>
      </c>
      <c r="K63" s="13" t="n">
        <f aca="false">ROUNDUP(MATCH(K$60,$B$57:$U$57,0)/2,0)</f>
        <v>9</v>
      </c>
      <c r="L63" s="13" t="n">
        <f aca="false">ROUNDUP(MATCH(L$60,$B$57:$U$57,0)/2,0)</f>
        <v>6</v>
      </c>
      <c r="M63" s="13" t="n">
        <f aca="false">ROUNDUP(MATCH(M$60,$B$57:$U$57,0)/2,0)</f>
        <v>8</v>
      </c>
      <c r="N63" s="13" t="n">
        <f aca="false">ROUNDUP(MATCH(N$60,$B$57:$U$57,0)/2,0)</f>
        <v>5</v>
      </c>
      <c r="O63" s="13" t="n">
        <f aca="false">ROUNDUP(MATCH(O$60,$B$57:$U$57,0)/2,0)</f>
        <v>2</v>
      </c>
      <c r="P63" s="13" t="n">
        <f aca="false">ROUNDUP(MATCH(P$60,$B$57:$U$57,0)/2,0)</f>
        <v>4</v>
      </c>
      <c r="Q63" s="13" t="n">
        <f aca="false">ROUNDUP(MATCH(Q$60,$B$57:$U$57,0)/2,0)</f>
        <v>2</v>
      </c>
      <c r="R63" s="13" t="n">
        <f aca="false">ROUNDUP(MATCH(R$60,$B$57:$U$57,0)/2,0)</f>
        <v>4</v>
      </c>
      <c r="S63" s="13" t="n">
        <f aca="false">ROUNDUP(MATCH(S$60,$B$57:$U$57,0)/2,0)</f>
        <v>10</v>
      </c>
      <c r="T63" s="13" t="n">
        <f aca="false">ROUNDUP(MATCH(T$60,$B$57:$U$57,0)/2,0)</f>
        <v>6</v>
      </c>
      <c r="U63" s="13" t="n">
        <f aca="false">ROUNDUP(MATCH(U$60,$B$57:$U$57,0)/2,0)</f>
        <v>1</v>
      </c>
    </row>
    <row r="64" customFormat="false" ht="15" hidden="false" customHeight="false" outlineLevel="0" collapsed="false">
      <c r="A64" s="6" t="s">
        <v>195</v>
      </c>
      <c r="B64" s="13" t="n">
        <f aca="false">ROUNDUP(MATCH(B$60,$B$58:$U$58,0)/2,0)</f>
        <v>5</v>
      </c>
      <c r="C64" s="13" t="n">
        <f aca="false">ROUNDUP(MATCH(C$60,$B$58:$U$58,0)/2,0)</f>
        <v>4</v>
      </c>
      <c r="D64" s="13" t="n">
        <f aca="false">ROUNDUP(MATCH(D$60,$B$58:$U$58,0)/2,0)</f>
        <v>3</v>
      </c>
      <c r="E64" s="13" t="n">
        <f aca="false">ROUNDUP(MATCH(E$60,$B$58:$U$58,0)/2,0)</f>
        <v>1</v>
      </c>
      <c r="F64" s="13" t="n">
        <f aca="false">ROUNDUP(MATCH(F$60,$B$58:$U$58,0)/2,0)</f>
        <v>3</v>
      </c>
      <c r="G64" s="13" t="n">
        <f aca="false">ROUNDUP(MATCH(G$60,$B$58:$U$58,0)/2,0)</f>
        <v>5</v>
      </c>
      <c r="H64" s="13" t="n">
        <f aca="false">ROUNDUP(MATCH(H$60,$B$58:$U$58,0)/2,0)</f>
        <v>7</v>
      </c>
      <c r="I64" s="13" t="n">
        <f aca="false">ROUNDUP(MATCH(I$60,$B$58:$U$58,0)/2,0)</f>
        <v>6</v>
      </c>
      <c r="J64" s="13" t="n">
        <f aca="false">ROUNDUP(MATCH(J$60,$B$58:$U$58,0)/2,0)</f>
        <v>10</v>
      </c>
      <c r="K64" s="13" t="n">
        <f aca="false">ROUNDUP(MATCH(K$60,$B$58:$U$58,0)/2,0)</f>
        <v>9</v>
      </c>
      <c r="L64" s="13" t="n">
        <f aca="false">ROUNDUP(MATCH(L$60,$B$58:$U$58,0)/2,0)</f>
        <v>2</v>
      </c>
      <c r="M64" s="13" t="n">
        <f aca="false">ROUNDUP(MATCH(M$60,$B$58:$U$58,0)/2,0)</f>
        <v>4</v>
      </c>
      <c r="N64" s="13" t="n">
        <f aca="false">ROUNDUP(MATCH(N$60,$B$58:$U$58,0)/2,0)</f>
        <v>10</v>
      </c>
      <c r="O64" s="13" t="n">
        <f aca="false">ROUNDUP(MATCH(O$60,$B$58:$U$58,0)/2,0)</f>
        <v>1</v>
      </c>
      <c r="P64" s="13" t="n">
        <f aca="false">ROUNDUP(MATCH(P$60,$B$58:$U$58,0)/2,0)</f>
        <v>7</v>
      </c>
      <c r="Q64" s="13" t="n">
        <f aca="false">ROUNDUP(MATCH(Q$60,$B$58:$U$58,0)/2,0)</f>
        <v>8</v>
      </c>
      <c r="R64" s="13" t="n">
        <f aca="false">ROUNDUP(MATCH(R$60,$B$58:$U$58,0)/2,0)</f>
        <v>8</v>
      </c>
      <c r="S64" s="13" t="n">
        <f aca="false">ROUNDUP(MATCH(S$60,$B$58:$U$58,0)/2,0)</f>
        <v>9</v>
      </c>
      <c r="T64" s="13" t="n">
        <f aca="false">ROUNDUP(MATCH(T$60,$B$58:$U$58,0)/2,0)</f>
        <v>6</v>
      </c>
      <c r="U64" s="13" t="n">
        <f aca="false">ROUNDUP(MATCH(U$60,$B$58:$U$58,0)/2,0)</f>
        <v>2</v>
      </c>
    </row>
    <row r="66" customFormat="false" ht="15" hidden="false" customHeight="false" outlineLevel="0" collapsed="false">
      <c r="A66" s="3" t="s">
        <v>196</v>
      </c>
    </row>
    <row r="67" customFormat="false" ht="15" hidden="false" customHeight="false" outlineLevel="0" collapsed="false">
      <c r="A67" s="6" t="s">
        <v>197</v>
      </c>
      <c r="B67" s="16" t="n">
        <v>8</v>
      </c>
      <c r="C67" s="16" t="n">
        <v>5</v>
      </c>
      <c r="D67" s="16" t="n">
        <v>6</v>
      </c>
      <c r="E67" s="16" t="n">
        <v>7</v>
      </c>
      <c r="F67" s="16" t="n">
        <v>4</v>
      </c>
      <c r="G67" s="16" t="n">
        <v>9</v>
      </c>
      <c r="H67" s="16" t="n">
        <v>2</v>
      </c>
      <c r="I67" s="16" t="n">
        <v>10</v>
      </c>
      <c r="J67" s="16" t="n">
        <v>3</v>
      </c>
      <c r="K67" s="16" t="n">
        <v>1</v>
      </c>
    </row>
    <row r="68" customFormat="false" ht="15" hidden="false" customHeight="false" outlineLevel="0" collapsed="false">
      <c r="A68" s="6" t="s">
        <v>198</v>
      </c>
      <c r="B68" s="16" t="n">
        <v>9</v>
      </c>
      <c r="C68" s="16" t="n">
        <v>5</v>
      </c>
      <c r="D68" s="16" t="n">
        <v>8</v>
      </c>
      <c r="E68" s="16" t="n">
        <v>7</v>
      </c>
      <c r="F68" s="16" t="n">
        <v>10</v>
      </c>
      <c r="G68" s="16" t="n">
        <v>3</v>
      </c>
      <c r="H68" s="16" t="n">
        <v>3</v>
      </c>
      <c r="I68" s="16" t="n">
        <v>1</v>
      </c>
      <c r="J68" s="16" t="n">
        <v>7</v>
      </c>
      <c r="K68" s="16" t="n">
        <v>9</v>
      </c>
      <c r="L68" s="16" t="n">
        <v>6</v>
      </c>
      <c r="M68" s="16" t="n">
        <v>8</v>
      </c>
      <c r="N68" s="16" t="n">
        <v>5</v>
      </c>
      <c r="O68" s="16" t="n">
        <v>2</v>
      </c>
      <c r="P68" s="16" t="n">
        <v>4</v>
      </c>
      <c r="Q68" s="16" t="n">
        <v>2</v>
      </c>
      <c r="R68" s="16" t="n">
        <v>4</v>
      </c>
      <c r="S68" s="16" t="n">
        <v>10</v>
      </c>
      <c r="T68" s="16" t="n">
        <v>6</v>
      </c>
      <c r="U68" s="16" t="n">
        <v>1</v>
      </c>
    </row>
    <row r="69" customFormat="false" ht="23.85" hidden="false" customHeight="false" outlineLevel="0" collapsed="false">
      <c r="A69" s="6" t="s">
        <v>199</v>
      </c>
      <c r="B69" s="17" t="n">
        <f aca="false">SUMPRODUCT(--(B67:K67&lt;&gt;B61:K61))</f>
        <v>0</v>
      </c>
    </row>
    <row r="70" customFormat="false" ht="23.85" hidden="false" customHeight="false" outlineLevel="0" collapsed="false">
      <c r="A70" s="6" t="s">
        <v>200</v>
      </c>
      <c r="B70" s="17" t="n">
        <f aca="false">SUMPRODUCT(--(B68:U68&lt;&gt;B63:U63))</f>
        <v>0</v>
      </c>
    </row>
    <row r="71" customFormat="false" ht="15" hidden="false" customHeight="false" outlineLevel="0" collapsed="false">
      <c r="A71" s="2" t="s">
        <v>201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0"/>
    <col collapsed="false" customWidth="true" hidden="false" outlineLevel="0" max="4" min="4" style="0" width="60"/>
    <col collapsed="false" customWidth="true" hidden="false" outlineLevel="0" max="5" min="5" style="0" width="10"/>
    <col collapsed="false" customWidth="true" hidden="false" outlineLevel="0" max="6" min="6" style="0" width="28"/>
    <col collapsed="false" customWidth="true" hidden="false" outlineLevel="0" max="7" min="7" style="0" width="55"/>
  </cols>
  <sheetData>
    <row r="1" customFormat="false" ht="17.35" hidden="false" customHeight="false" outlineLevel="0" collapsed="false">
      <c r="A1" s="1" t="s">
        <v>202</v>
      </c>
    </row>
    <row r="2" customFormat="false" ht="15" hidden="false" customHeight="false" outlineLevel="0" collapsed="false">
      <c r="A2" s="2" t="s">
        <v>203</v>
      </c>
    </row>
    <row r="4" customFormat="false" ht="23.85" hidden="false" customHeight="false" outlineLevel="0" collapsed="false">
      <c r="A4" s="4" t="s">
        <v>204</v>
      </c>
      <c r="B4" s="4" t="s">
        <v>205</v>
      </c>
      <c r="C4" s="4" t="s">
        <v>206</v>
      </c>
      <c r="D4" s="4" t="s">
        <v>207</v>
      </c>
      <c r="E4" s="4" t="s">
        <v>208</v>
      </c>
      <c r="F4" s="4" t="s">
        <v>209</v>
      </c>
      <c r="G4" s="4" t="s">
        <v>84</v>
      </c>
    </row>
    <row r="5" customFormat="false" ht="35.05" hidden="false" customHeight="false" outlineLevel="0" collapsed="false">
      <c r="A5" s="6" t="s">
        <v>210</v>
      </c>
      <c r="B5" s="6" t="s">
        <v>211</v>
      </c>
      <c r="C5" s="6" t="s">
        <v>212</v>
      </c>
      <c r="D5" s="6" t="s">
        <v>213</v>
      </c>
      <c r="E5" s="6" t="n">
        <v>1</v>
      </c>
      <c r="F5" s="6" t="s">
        <v>214</v>
      </c>
      <c r="G5" s="6"/>
    </row>
    <row r="6" customFormat="false" ht="46.25" hidden="false" customHeight="false" outlineLevel="0" collapsed="false">
      <c r="A6" s="6" t="s">
        <v>215</v>
      </c>
      <c r="B6" s="6" t="s">
        <v>216</v>
      </c>
      <c r="C6" s="6" t="s">
        <v>217</v>
      </c>
      <c r="D6" s="6" t="s">
        <v>218</v>
      </c>
      <c r="E6" s="6" t="n">
        <v>2</v>
      </c>
      <c r="F6" s="6" t="s">
        <v>219</v>
      </c>
      <c r="G6" s="6" t="s">
        <v>220</v>
      </c>
    </row>
    <row r="7" customFormat="false" ht="35.05" hidden="false" customHeight="false" outlineLevel="0" collapsed="false">
      <c r="A7" s="6" t="s">
        <v>221</v>
      </c>
      <c r="B7" s="6" t="s">
        <v>222</v>
      </c>
      <c r="C7" s="6" t="s">
        <v>223</v>
      </c>
      <c r="D7" s="6" t="s">
        <v>224</v>
      </c>
      <c r="E7" s="6" t="n">
        <v>3</v>
      </c>
      <c r="F7" s="6" t="s">
        <v>225</v>
      </c>
      <c r="G7" s="6" t="s">
        <v>226</v>
      </c>
    </row>
    <row r="8" customFormat="false" ht="23.85" hidden="false" customHeight="false" outlineLevel="0" collapsed="false">
      <c r="A8" s="6" t="s">
        <v>227</v>
      </c>
      <c r="B8" s="6" t="s">
        <v>228</v>
      </c>
      <c r="C8" s="6" t="s">
        <v>229</v>
      </c>
      <c r="D8" s="6" t="s">
        <v>230</v>
      </c>
      <c r="E8" s="6" t="n">
        <v>4</v>
      </c>
      <c r="F8" s="6" t="s">
        <v>231</v>
      </c>
      <c r="G8" s="6"/>
    </row>
    <row r="9" customFormat="false" ht="46.25" hidden="false" customHeight="false" outlineLevel="0" collapsed="false">
      <c r="A9" s="6" t="s">
        <v>232</v>
      </c>
      <c r="B9" s="6" t="s">
        <v>233</v>
      </c>
      <c r="C9" s="6" t="s">
        <v>234</v>
      </c>
      <c r="D9" s="6" t="s">
        <v>235</v>
      </c>
      <c r="E9" s="6" t="n">
        <v>5</v>
      </c>
      <c r="F9" s="6" t="s">
        <v>236</v>
      </c>
      <c r="G9" s="6" t="s">
        <v>237</v>
      </c>
    </row>
    <row r="10" customFormat="false" ht="23.85" hidden="false" customHeight="false" outlineLevel="0" collapsed="false">
      <c r="A10" s="6" t="s">
        <v>238</v>
      </c>
      <c r="B10" s="6" t="s">
        <v>239</v>
      </c>
      <c r="C10" s="6" t="s">
        <v>240</v>
      </c>
      <c r="D10" s="6" t="s">
        <v>241</v>
      </c>
      <c r="E10" s="6" t="n">
        <v>6</v>
      </c>
      <c r="F10" s="6" t="s">
        <v>242</v>
      </c>
      <c r="G10" s="6"/>
    </row>
    <row r="11" customFormat="false" ht="23.85" hidden="false" customHeight="false" outlineLevel="0" collapsed="false">
      <c r="A11" s="6" t="s">
        <v>243</v>
      </c>
      <c r="B11" s="6" t="s">
        <v>244</v>
      </c>
      <c r="C11" s="6" t="s">
        <v>245</v>
      </c>
      <c r="D11" s="6" t="s">
        <v>246</v>
      </c>
      <c r="E11" s="6" t="n">
        <v>7</v>
      </c>
      <c r="F11" s="6" t="s">
        <v>247</v>
      </c>
      <c r="G11" s="6" t="s">
        <v>248</v>
      </c>
    </row>
    <row r="12" customFormat="false" ht="23.85" hidden="false" customHeight="false" outlineLevel="0" collapsed="false">
      <c r="A12" s="6" t="s">
        <v>249</v>
      </c>
      <c r="B12" s="6" t="s">
        <v>250</v>
      </c>
      <c r="C12" s="6" t="s">
        <v>251</v>
      </c>
      <c r="D12" s="6" t="s">
        <v>252</v>
      </c>
      <c r="E12" s="6" t="n">
        <v>8</v>
      </c>
      <c r="F12" s="6" t="s">
        <v>236</v>
      </c>
      <c r="G12" s="6" t="s">
        <v>253</v>
      </c>
    </row>
    <row r="13" customFormat="false" ht="23.85" hidden="false" customHeight="false" outlineLevel="0" collapsed="false">
      <c r="A13" s="6" t="s">
        <v>254</v>
      </c>
      <c r="B13" s="6" t="s">
        <v>255</v>
      </c>
      <c r="C13" s="6" t="s">
        <v>256</v>
      </c>
      <c r="D13" s="6" t="s">
        <v>257</v>
      </c>
      <c r="E13" s="6" t="n">
        <v>9</v>
      </c>
      <c r="F13" s="6" t="s">
        <v>236</v>
      </c>
      <c r="G13" s="6" t="s">
        <v>258</v>
      </c>
    </row>
    <row r="14" customFormat="false" ht="23.85" hidden="false" customHeight="false" outlineLevel="0" collapsed="false">
      <c r="A14" s="6" t="s">
        <v>259</v>
      </c>
      <c r="B14" s="6" t="s">
        <v>260</v>
      </c>
      <c r="C14" s="6" t="s">
        <v>261</v>
      </c>
      <c r="D14" s="6" t="s">
        <v>262</v>
      </c>
      <c r="E14" s="6" t="n">
        <v>10</v>
      </c>
      <c r="F14" s="6" t="s">
        <v>236</v>
      </c>
      <c r="G14" s="6"/>
    </row>
    <row r="15" customFormat="false" ht="46.25" hidden="false" customHeight="false" outlineLevel="0" collapsed="false">
      <c r="A15" s="6" t="s">
        <v>263</v>
      </c>
      <c r="B15" s="6" t="s">
        <v>264</v>
      </c>
      <c r="C15" s="6" t="s">
        <v>265</v>
      </c>
      <c r="D15" s="6" t="s">
        <v>266</v>
      </c>
      <c r="E15" s="6"/>
      <c r="F15" s="6" t="s">
        <v>267</v>
      </c>
      <c r="G15" s="6" t="s">
        <v>268</v>
      </c>
    </row>
    <row r="17" customFormat="false" ht="15" hidden="false" customHeight="false" outlineLevel="0" collapsed="false">
      <c r="A17" s="2" t="s">
        <v>269</v>
      </c>
    </row>
    <row r="18" customFormat="false" ht="15" hidden="false" customHeight="false" outlineLevel="0" collapsed="false">
      <c r="A18" s="2" t="s">
        <v>270</v>
      </c>
    </row>
    <row r="19" customFormat="false" ht="15" hidden="false" customHeight="false" outlineLevel="0" collapsed="false">
      <c r="A19" s="2" t="s">
        <v>271</v>
      </c>
    </row>
    <row r="20" customFormat="false" ht="15" hidden="false" customHeight="false" outlineLevel="0" collapsed="false">
      <c r="A20" s="2" t="s">
        <v>272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4"/>
    <col collapsed="false" customWidth="true" hidden="false" outlineLevel="0" max="5" min="3" style="0" width="15"/>
    <col collapsed="false" customWidth="true" hidden="false" outlineLevel="0" max="6" min="6" style="0" width="20"/>
    <col collapsed="false" customWidth="true" hidden="false" outlineLevel="0" max="7" min="7" style="0" width="18"/>
  </cols>
  <sheetData>
    <row r="1" customFormat="false" ht="17.35" hidden="false" customHeight="false" outlineLevel="0" collapsed="false">
      <c r="A1" s="1" t="s">
        <v>273</v>
      </c>
    </row>
    <row r="2" customFormat="false" ht="15" hidden="false" customHeight="false" outlineLevel="0" collapsed="false">
      <c r="A2" s="2" t="s">
        <v>274</v>
      </c>
    </row>
    <row r="4" customFormat="false" ht="23.85" hidden="false" customHeight="false" outlineLevel="0" collapsed="false">
      <c r="A4" s="4" t="s">
        <v>275</v>
      </c>
      <c r="B4" s="4" t="s">
        <v>276</v>
      </c>
      <c r="C4" s="4" t="s">
        <v>277</v>
      </c>
      <c r="D4" s="4" t="s">
        <v>278</v>
      </c>
      <c r="E4" s="4" t="s">
        <v>279</v>
      </c>
      <c r="F4" s="4" t="s">
        <v>280</v>
      </c>
      <c r="G4" s="4" t="s">
        <v>281</v>
      </c>
    </row>
    <row r="5" customFormat="false" ht="15" hidden="false" customHeight="false" outlineLevel="0" collapsed="false">
      <c r="A5" s="5" t="s">
        <v>282</v>
      </c>
      <c r="B5" s="18" t="n">
        <v>0.55</v>
      </c>
      <c r="C5" s="18" t="n">
        <v>0.38</v>
      </c>
      <c r="D5" s="18" t="n">
        <v>0.61</v>
      </c>
      <c r="E5" s="18" t="n">
        <v>0.65</v>
      </c>
      <c r="F5" s="19" t="n">
        <f aca="false">AVERAGE(C5:E5)</f>
        <v>0.546666666666667</v>
      </c>
      <c r="G5" s="19" t="n">
        <f aca="false">F5-B5</f>
        <v>-0.0033333333333333</v>
      </c>
    </row>
    <row r="6" customFormat="false" ht="15" hidden="false" customHeight="false" outlineLevel="0" collapsed="false">
      <c r="A6" s="5" t="s">
        <v>283</v>
      </c>
      <c r="B6" s="18" t="n">
        <v>0.3</v>
      </c>
      <c r="C6" s="18" t="n">
        <v>0.04</v>
      </c>
      <c r="D6" s="18" t="n">
        <v>0.27</v>
      </c>
      <c r="E6" s="18" t="n">
        <v>0.6</v>
      </c>
      <c r="F6" s="19" t="n">
        <f aca="false">AVERAGE(C6:E6)</f>
        <v>0.303333333333333</v>
      </c>
      <c r="G6" s="19" t="n">
        <f aca="false">F6-B6</f>
        <v>0.00333333333333336</v>
      </c>
    </row>
    <row r="7" customFormat="false" ht="15" hidden="false" customHeight="false" outlineLevel="0" collapsed="false">
      <c r="A7" s="5" t="s">
        <v>284</v>
      </c>
      <c r="B7" s="18" t="n">
        <v>0.36</v>
      </c>
      <c r="C7" s="18" t="n">
        <v>0.35</v>
      </c>
      <c r="D7" s="18" t="n">
        <v>0.23</v>
      </c>
      <c r="E7" s="18" t="n">
        <v>0.5</v>
      </c>
      <c r="F7" s="19" t="n">
        <f aca="false">AVERAGE(C7:E7)</f>
        <v>0.36</v>
      </c>
      <c r="G7" s="19" t="n">
        <f aca="false">F7-B7</f>
        <v>0</v>
      </c>
    </row>
    <row r="8" customFormat="false" ht="15" hidden="false" customHeight="false" outlineLevel="0" collapsed="false">
      <c r="A8" s="5" t="s">
        <v>285</v>
      </c>
      <c r="B8" s="18" t="n">
        <v>0.4</v>
      </c>
      <c r="C8" s="18" t="n">
        <v>0.26</v>
      </c>
      <c r="D8" s="18" t="n">
        <v>0.37</v>
      </c>
      <c r="E8" s="18" t="n">
        <v>0.58</v>
      </c>
      <c r="F8" s="19" t="n">
        <f aca="false">AVERAGE(C8:E8)</f>
        <v>0.403333333333333</v>
      </c>
      <c r="G8" s="19" t="n">
        <f aca="false">F8-B8</f>
        <v>0.0033333333333333</v>
      </c>
    </row>
    <row r="9" customFormat="false" ht="23.85" hidden="false" customHeight="false" outlineLevel="0" collapsed="false">
      <c r="A9" s="5" t="s">
        <v>286</v>
      </c>
      <c r="B9" s="19" t="n">
        <f aca="false">AVERAGE(B5:B7)</f>
        <v>0.403333333333333</v>
      </c>
      <c r="C9" s="19" t="n">
        <f aca="false">AVERAGE(C5:C7)</f>
        <v>0.256666666666667</v>
      </c>
      <c r="D9" s="19" t="n">
        <f aca="false">AVERAGE(D5:D7)</f>
        <v>0.37</v>
      </c>
      <c r="E9" s="19" t="n">
        <f aca="false">AVERAGE(E5:E7)</f>
        <v>0.583333333333333</v>
      </c>
    </row>
    <row r="10" customFormat="false" ht="23.85" hidden="false" customHeight="false" outlineLevel="0" collapsed="false">
      <c r="A10" s="5" t="s">
        <v>287</v>
      </c>
      <c r="B10" s="19" t="n">
        <f aca="false">B9-B8</f>
        <v>0.0033333333333333</v>
      </c>
      <c r="C10" s="19" t="n">
        <f aca="false">C9-C8</f>
        <v>-0.00333333333333336</v>
      </c>
      <c r="D10" s="19" t="n">
        <f aca="false">D9-D8</f>
        <v>0</v>
      </c>
      <c r="E10" s="19" t="n">
        <f aca="false">E9-E8</f>
        <v>0.00333333333333341</v>
      </c>
    </row>
    <row r="11" customFormat="false" ht="15" hidden="false" customHeight="false" outlineLevel="0" collapsed="false">
      <c r="B11" s="4" t="s">
        <v>288</v>
      </c>
      <c r="C11" s="4" t="s">
        <v>289</v>
      </c>
      <c r="D11" s="4" t="s">
        <v>290</v>
      </c>
    </row>
    <row r="12" customFormat="false" ht="35.05" hidden="false" customHeight="false" outlineLevel="0" collapsed="false">
      <c r="A12" s="5" t="s">
        <v>291</v>
      </c>
      <c r="B12" s="20" t="n">
        <f aca="false">1-B5</f>
        <v>0.45</v>
      </c>
      <c r="C12" s="20" t="n">
        <f aca="false">1-B6</f>
        <v>0.7</v>
      </c>
      <c r="D12" s="20" t="n">
        <f aca="false">1-B7</f>
        <v>0.64</v>
      </c>
    </row>
    <row r="14" customFormat="false" ht="15" hidden="false" customHeight="false" outlineLevel="0" collapsed="false">
      <c r="A14" s="2" t="s">
        <v>292</v>
      </c>
    </row>
    <row r="15" customFormat="false" ht="15" hidden="false" customHeight="false" outlineLevel="0" collapsed="false">
      <c r="A15" s="2" t="s">
        <v>293</v>
      </c>
    </row>
    <row r="16" customFormat="false" ht="15" hidden="false" customHeight="false" outlineLevel="0" collapsed="false">
      <c r="A16" s="2" t="s">
        <v>294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8"/>
    <col collapsed="false" customWidth="true" hidden="false" outlineLevel="0" max="3" min="3" style="0" width="22"/>
    <col collapsed="false" customWidth="true" hidden="false" outlineLevel="0" max="5" min="4" style="0" width="20"/>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295</v>
      </c>
    </row>
    <row r="2" customFormat="false" ht="15" hidden="false" customHeight="false" outlineLevel="0" collapsed="false">
      <c r="A2" s="2" t="s">
        <v>296</v>
      </c>
    </row>
    <row r="4" customFormat="false" ht="46.25" hidden="false" customHeight="false" outlineLevel="0" collapsed="false">
      <c r="A4" s="4" t="s">
        <v>275</v>
      </c>
      <c r="B4" s="4" t="s">
        <v>297</v>
      </c>
      <c r="C4" s="4" t="s">
        <v>298</v>
      </c>
      <c r="D4" s="4" t="s">
        <v>299</v>
      </c>
      <c r="E4" s="4" t="s">
        <v>300</v>
      </c>
      <c r="F4" s="4" t="s">
        <v>301</v>
      </c>
      <c r="G4" s="4" t="s">
        <v>302</v>
      </c>
    </row>
    <row r="5" customFormat="false" ht="15" hidden="false" customHeight="false" outlineLevel="0" collapsed="false">
      <c r="A5" s="5" t="s">
        <v>282</v>
      </c>
      <c r="B5" s="21" t="n">
        <v>114.9</v>
      </c>
      <c r="C5" s="21" t="n">
        <v>60.9</v>
      </c>
      <c r="D5" s="21" t="n">
        <v>19.5</v>
      </c>
      <c r="E5" s="18" t="n">
        <v>0.45</v>
      </c>
      <c r="F5" s="22" t="n">
        <f aca="false">1-CMO_Tab1!B5</f>
        <v>0.45</v>
      </c>
      <c r="G5" s="20" t="n">
        <f aca="false">E5-F5</f>
        <v>0</v>
      </c>
    </row>
    <row r="6" customFormat="false" ht="15" hidden="false" customHeight="false" outlineLevel="0" collapsed="false">
      <c r="A6" s="5" t="s">
        <v>283</v>
      </c>
      <c r="B6" s="21" t="n">
        <v>204.3</v>
      </c>
      <c r="C6" s="21" t="n">
        <v>63.8</v>
      </c>
      <c r="D6" s="21" t="n">
        <v>32.9</v>
      </c>
      <c r="E6" s="18" t="n">
        <v>0.7</v>
      </c>
      <c r="F6" s="22" t="n">
        <f aca="false">1-CMO_Tab1!B6</f>
        <v>0.7</v>
      </c>
      <c r="G6" s="20" t="n">
        <f aca="false">E6-F6</f>
        <v>0</v>
      </c>
    </row>
    <row r="7" customFormat="false" ht="15" hidden="false" customHeight="false" outlineLevel="0" collapsed="false">
      <c r="A7" s="5" t="s">
        <v>284</v>
      </c>
      <c r="B7" s="21" t="n">
        <v>211.1</v>
      </c>
      <c r="C7" s="21" t="n">
        <v>76.6</v>
      </c>
      <c r="D7" s="21" t="n">
        <v>46.1</v>
      </c>
      <c r="E7" s="18" t="n">
        <v>0.64</v>
      </c>
      <c r="F7" s="22" t="n">
        <f aca="false">1-CMO_Tab1!B7</f>
        <v>0.64</v>
      </c>
      <c r="G7" s="20" t="n">
        <f aca="false">E7-F7</f>
        <v>0</v>
      </c>
    </row>
    <row r="9" customFormat="false" ht="15" hidden="false" customHeight="false" outlineLevel="0" collapsed="false">
      <c r="A9" s="2" t="s">
        <v>303</v>
      </c>
    </row>
    <row r="10" customFormat="false" ht="15" hidden="false" customHeight="false" outlineLevel="0" collapsed="false">
      <c r="A10" s="2" t="s">
        <v>304</v>
      </c>
    </row>
    <row r="11" customFormat="false" ht="15" hidden="false" customHeight="false" outlineLevel="0" collapsed="false">
      <c r="A11" s="2" t="s">
        <v>305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6"/>
    <col collapsed="false" customWidth="true" hidden="false" outlineLevel="0" max="4" min="4" style="0" width="4"/>
    <col collapsed="false" customWidth="true" hidden="false" outlineLevel="0" max="5" min="5" style="0" width="30"/>
    <col collapsed="false" customWidth="true" hidden="false" outlineLevel="0" max="7" min="6" style="0" width="14"/>
  </cols>
  <sheetData>
    <row r="1" customFormat="false" ht="17.35" hidden="false" customHeight="false" outlineLevel="0" collapsed="false">
      <c r="A1" s="1" t="s">
        <v>306</v>
      </c>
    </row>
    <row r="2" customFormat="false" ht="15" hidden="false" customHeight="false" outlineLevel="0" collapsed="false">
      <c r="A2" s="2" t="s">
        <v>307</v>
      </c>
    </row>
    <row r="4" customFormat="false" ht="15" hidden="false" customHeight="false" outlineLevel="0" collapsed="false">
      <c r="A4" s="3" t="s">
        <v>308</v>
      </c>
    </row>
    <row r="5" customFormat="false" ht="23.85" hidden="false" customHeight="false" outlineLevel="0" collapsed="false">
      <c r="A5" s="4" t="s">
        <v>309</v>
      </c>
      <c r="B5" s="4" t="s">
        <v>310</v>
      </c>
      <c r="C5" s="4" t="s">
        <v>311</v>
      </c>
      <c r="E5" s="4" t="s">
        <v>312</v>
      </c>
      <c r="F5" s="4" t="s">
        <v>313</v>
      </c>
      <c r="G5" s="4" t="s">
        <v>314</v>
      </c>
    </row>
    <row r="6" customFormat="false" ht="15" hidden="false" customHeight="false" outlineLevel="0" collapsed="false">
      <c r="A6" s="5" t="s">
        <v>315</v>
      </c>
      <c r="B6" s="18" t="n">
        <v>0.46</v>
      </c>
      <c r="C6" s="18" t="n">
        <v>0.44</v>
      </c>
      <c r="E6" s="6" t="s">
        <v>316</v>
      </c>
      <c r="F6" s="23" t="n">
        <f aca="false">SUMPRODUCT((CMO_Strukturen!$B$60:$U$60&lt;=10)*(CMO_Strukturen!$B$63:$U$63&lt;=5))</f>
        <v>4</v>
      </c>
      <c r="G6" s="23" t="n">
        <f aca="false">SUMPRODUCT((CMO_Strukturen!$B$60:$U$60&lt;=10)*(CMO_Strukturen!$B$64:$U$64&lt;=5))</f>
        <v>6</v>
      </c>
    </row>
    <row r="7" customFormat="false" ht="15" hidden="false" customHeight="false" outlineLevel="0" collapsed="false">
      <c r="A7" s="5" t="s">
        <v>317</v>
      </c>
      <c r="B7" s="18" t="n">
        <v>0.48</v>
      </c>
      <c r="C7" s="18" t="n">
        <v>0.25</v>
      </c>
      <c r="E7" s="6" t="s">
        <v>318</v>
      </c>
      <c r="F7" s="23" t="n">
        <f aca="false">SUMPRODUCT((CMO_Strukturen!$B$60:$U$60&lt;=10)*(CMO_Strukturen!$B$63:$U$63&gt;5))</f>
        <v>6</v>
      </c>
      <c r="G7" s="23" t="n">
        <f aca="false">SUMPRODUCT((CMO_Strukturen!$B$60:$U$60&lt;=10)*(CMO_Strukturen!$B$64:$U$64&gt;5))</f>
        <v>4</v>
      </c>
    </row>
    <row r="8" customFormat="false" ht="15" hidden="false" customHeight="false" outlineLevel="0" collapsed="false">
      <c r="E8" s="6" t="s">
        <v>319</v>
      </c>
      <c r="F8" s="23" t="n">
        <f aca="false">SUMPRODUCT((CMO_Strukturen!$B$60:$U$60&gt;10)*(CMO_Strukturen!$B$63:$U$63&lt;=5))</f>
        <v>6</v>
      </c>
      <c r="G8" s="23" t="n">
        <f aca="false">SUMPRODUCT((CMO_Strukturen!$B$60:$U$60&gt;10)*(CMO_Strukturen!$B$64:$U$64&lt;=5))</f>
        <v>4</v>
      </c>
    </row>
    <row r="9" customFormat="false" ht="15" hidden="false" customHeight="false" outlineLevel="0" collapsed="false">
      <c r="E9" s="6" t="s">
        <v>320</v>
      </c>
      <c r="F9" s="23" t="n">
        <f aca="false">SUMPRODUCT((CMO_Strukturen!$B$60:$U$60&gt;10)*(CMO_Strukturen!$B$63:$U$63&gt;5))</f>
        <v>4</v>
      </c>
      <c r="G9" s="23" t="n">
        <f aca="false">SUMPRODUCT((CMO_Strukturen!$B$60:$U$60&gt;10)*(CMO_Strukturen!$B$64:$U$64&gt;5))</f>
        <v>6</v>
      </c>
    </row>
    <row r="10" customFormat="false" ht="15" hidden="false" customHeight="false" outlineLevel="0" collapsed="false">
      <c r="A10" s="2" t="s">
        <v>321</v>
      </c>
    </row>
    <row r="11" customFormat="false" ht="15" hidden="false" customHeight="false" outlineLevel="0" collapsed="false">
      <c r="A11" s="2" t="s">
        <v>322</v>
      </c>
    </row>
    <row r="13" customFormat="false" ht="15" hidden="false" customHeight="false" outlineLevel="0" collapsed="false">
      <c r="A13" s="3" t="s">
        <v>323</v>
      </c>
    </row>
    <row r="14" customFormat="false" ht="15" hidden="false" customHeight="false" outlineLevel="0" collapsed="false">
      <c r="A14" s="2" t="s">
        <v>324</v>
      </c>
    </row>
    <row r="15" customFormat="false" ht="23.85" hidden="false" customHeight="false" outlineLevel="0" collapsed="false">
      <c r="A15" s="4" t="s">
        <v>325</v>
      </c>
      <c r="B15" s="4" t="s">
        <v>326</v>
      </c>
      <c r="C15" s="4" t="s">
        <v>327</v>
      </c>
      <c r="E15" s="4" t="s">
        <v>328</v>
      </c>
      <c r="F15" s="4" t="s">
        <v>313</v>
      </c>
      <c r="G15" s="4" t="s">
        <v>314</v>
      </c>
    </row>
    <row r="16" customFormat="false" ht="15" hidden="false" customHeight="false" outlineLevel="0" collapsed="false">
      <c r="A16" s="5" t="s">
        <v>329</v>
      </c>
      <c r="B16" s="18" t="n">
        <v>0.86</v>
      </c>
      <c r="C16" s="18" t="n">
        <v>0.65</v>
      </c>
      <c r="E16" s="6" t="s">
        <v>316</v>
      </c>
      <c r="F16" s="23" t="n">
        <f aca="false">SUMPRODUCT((CMO_Strukturen!$B$60:$K$60&lt;=5)*(CMO_Strukturen!$B$61:$K$61&lt;=5))</f>
        <v>2</v>
      </c>
      <c r="G16" s="23" t="n">
        <f aca="false">SUMPRODUCT((CMO_Strukturen!$B$60:$K$60&lt;=5)*(CMO_Strukturen!$B$62:$K$62&lt;=5))</f>
        <v>2</v>
      </c>
    </row>
    <row r="17" customFormat="false" ht="15" hidden="false" customHeight="false" outlineLevel="0" collapsed="false">
      <c r="A17" s="5" t="s">
        <v>330</v>
      </c>
      <c r="B17" s="18" t="n">
        <v>0.54</v>
      </c>
      <c r="C17" s="18" t="n">
        <v>0.6</v>
      </c>
      <c r="E17" s="6" t="s">
        <v>318</v>
      </c>
      <c r="F17" s="23" t="n">
        <f aca="false">SUMPRODUCT((CMO_Strukturen!$B$60:$K$60&lt;=5)*(CMO_Strukturen!$B$61:$K$61&gt;5))</f>
        <v>3</v>
      </c>
      <c r="G17" s="23" t="n">
        <f aca="false">SUMPRODUCT((CMO_Strukturen!$B$60:$K$60&lt;=5)*(CMO_Strukturen!$B$62:$K$62&gt;5))</f>
        <v>3</v>
      </c>
    </row>
    <row r="18" customFormat="false" ht="15" hidden="false" customHeight="false" outlineLevel="0" collapsed="false">
      <c r="E18" s="6" t="s">
        <v>319</v>
      </c>
      <c r="F18" s="23" t="n">
        <f aca="false">SUMPRODUCT((CMO_Strukturen!$B$60:$K$60&gt;5)*(CMO_Strukturen!$B$61:$K$61&lt;=5))</f>
        <v>3</v>
      </c>
      <c r="G18" s="23" t="n">
        <f aca="false">SUMPRODUCT((CMO_Strukturen!$B$60:$K$60&gt;5)*(CMO_Strukturen!$B$62:$K$62&lt;=5))</f>
        <v>3</v>
      </c>
    </row>
    <row r="19" customFormat="false" ht="15" hidden="false" customHeight="false" outlineLevel="0" collapsed="false">
      <c r="E19" s="6" t="s">
        <v>320</v>
      </c>
      <c r="F19" s="23" t="n">
        <f aca="false">SUMPRODUCT((CMO_Strukturen!$B$60:$K$60&gt;5)*(CMO_Strukturen!$B$61:$K$61&gt;5))</f>
        <v>2</v>
      </c>
      <c r="G19" s="23" t="n">
        <f aca="false">SUMPRODUCT((CMO_Strukturen!$B$60:$K$60&gt;5)*(CMO_Strukturen!$B$62:$K$62&gt;5))</f>
        <v>2</v>
      </c>
    </row>
    <row r="20" customFormat="false" ht="15" hidden="false" customHeight="false" outlineLevel="0" collapsed="false">
      <c r="A20" s="2" t="s">
        <v>331</v>
      </c>
    </row>
    <row r="22" customFormat="false" ht="15" hidden="false" customHeight="false" outlineLevel="0" collapsed="false">
      <c r="A22" s="3" t="s">
        <v>332</v>
      </c>
    </row>
    <row r="23" customFormat="false" ht="23.85" hidden="false" customHeight="false" outlineLevel="0" collapsed="false">
      <c r="A23" s="4" t="s">
        <v>333</v>
      </c>
      <c r="B23" s="4" t="s">
        <v>334</v>
      </c>
    </row>
    <row r="24" customFormat="false" ht="15" hidden="false" customHeight="false" outlineLevel="0" collapsed="false">
      <c r="A24" s="5" t="s">
        <v>335</v>
      </c>
      <c r="B24" s="18" t="n">
        <v>0.14</v>
      </c>
    </row>
    <row r="25" customFormat="false" ht="15" hidden="false" customHeight="false" outlineLevel="0" collapsed="false">
      <c r="A25" s="5" t="s">
        <v>336</v>
      </c>
      <c r="B25" s="18" t="n">
        <v>0.05</v>
      </c>
    </row>
    <row r="26" customFormat="false" ht="23.85" hidden="false" customHeight="false" outlineLevel="0" collapsed="false">
      <c r="A26" s="5" t="s">
        <v>337</v>
      </c>
      <c r="B26" s="18" t="n">
        <v>0.12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4"/>
    <col collapsed="false" customWidth="true" hidden="false" outlineLevel="0" max="3" min="3" style="0" width="14"/>
    <col collapsed="false" customWidth="true" hidden="false" outlineLevel="0" max="4" min="4" style="0" width="10"/>
    <col collapsed="false" customWidth="true" hidden="false" outlineLevel="0" max="5" min="5" style="0" width="16"/>
    <col collapsed="false" customWidth="true" hidden="false" outlineLevel="0" max="6" min="6" style="0" width="18"/>
    <col collapsed="false" customWidth="true" hidden="false" outlineLevel="0" max="7" min="7" style="0" width="10"/>
    <col collapsed="false" customWidth="true" hidden="false" outlineLevel="0" max="10" min="8" style="0" width="12"/>
    <col collapsed="false" customWidth="true" hidden="false" outlineLevel="0" max="11" min="11" style="0" width="14"/>
    <col collapsed="false" customWidth="true" hidden="false" outlineLevel="0" max="12" min="12" style="0" width="12"/>
  </cols>
  <sheetData>
    <row r="1" customFormat="false" ht="17.35" hidden="false" customHeight="false" outlineLevel="0" collapsed="false">
      <c r="A1" s="1" t="s">
        <v>338</v>
      </c>
    </row>
    <row r="2" customFormat="false" ht="15" hidden="false" customHeight="false" outlineLevel="0" collapsed="false">
      <c r="A2" s="2" t="s">
        <v>339</v>
      </c>
    </row>
    <row r="4" customFormat="false" ht="15" hidden="false" customHeight="false" outlineLevel="0" collapsed="false">
      <c r="A4" s="3" t="s">
        <v>340</v>
      </c>
    </row>
    <row r="5" customFormat="false" ht="35.05" hidden="false" customHeight="false" outlineLevel="0" collapsed="false">
      <c r="A5" s="4" t="s">
        <v>341</v>
      </c>
      <c r="B5" s="4" t="s">
        <v>275</v>
      </c>
      <c r="C5" s="4" t="s">
        <v>342</v>
      </c>
      <c r="D5" s="4" t="s">
        <v>343</v>
      </c>
      <c r="E5" s="4" t="s">
        <v>344</v>
      </c>
      <c r="F5" s="4" t="s">
        <v>345</v>
      </c>
    </row>
    <row r="6" customFormat="false" ht="15" hidden="false" customHeight="false" outlineLevel="0" collapsed="false">
      <c r="A6" s="5" t="s">
        <v>346</v>
      </c>
      <c r="B6" s="16" t="n">
        <v>0</v>
      </c>
      <c r="C6" s="16" t="n">
        <v>2</v>
      </c>
      <c r="D6" s="16" t="n">
        <v>0</v>
      </c>
      <c r="E6" s="16" t="n">
        <v>0</v>
      </c>
      <c r="F6" s="24" t="str">
        <f aca="false">B6&amp;C6&amp;D6&amp;E6</f>
        <v>0200</v>
      </c>
    </row>
    <row r="7" customFormat="false" ht="15" hidden="false" customHeight="false" outlineLevel="0" collapsed="false">
      <c r="A7" s="5" t="s">
        <v>347</v>
      </c>
      <c r="B7" s="16" t="n">
        <v>1</v>
      </c>
      <c r="C7" s="16" t="n">
        <v>1</v>
      </c>
      <c r="D7" s="16" t="n">
        <v>1</v>
      </c>
      <c r="E7" s="16" t="n">
        <v>2</v>
      </c>
      <c r="F7" s="24" t="str">
        <f aca="false">B7&amp;C7&amp;D7&amp;E7</f>
        <v>1112</v>
      </c>
    </row>
    <row r="8" customFormat="false" ht="15" hidden="false" customHeight="false" outlineLevel="0" collapsed="false">
      <c r="A8" s="5" t="s">
        <v>348</v>
      </c>
      <c r="B8" s="16" t="n">
        <v>0</v>
      </c>
      <c r="C8" s="16" t="n">
        <v>0</v>
      </c>
      <c r="D8" s="16" t="n">
        <v>0</v>
      </c>
      <c r="E8" s="16" t="n">
        <v>2</v>
      </c>
      <c r="F8" s="24" t="str">
        <f aca="false">B8&amp;C8&amp;D8&amp;E8</f>
        <v>0002</v>
      </c>
    </row>
    <row r="9" customFormat="false" ht="15" hidden="false" customHeight="false" outlineLevel="0" collapsed="false">
      <c r="A9" s="5" t="s">
        <v>349</v>
      </c>
      <c r="B9" s="16" t="n">
        <v>1</v>
      </c>
      <c r="C9" s="16" t="n">
        <v>2</v>
      </c>
      <c r="D9" s="16" t="n">
        <v>2</v>
      </c>
      <c r="E9" s="16" t="n">
        <v>1</v>
      </c>
      <c r="F9" s="24" t="str">
        <f aca="false">B9&amp;C9&amp;D9&amp;E9</f>
        <v>1221</v>
      </c>
    </row>
    <row r="10" customFormat="false" ht="15" hidden="false" customHeight="false" outlineLevel="0" collapsed="false">
      <c r="A10" s="2" t="s">
        <v>350</v>
      </c>
    </row>
    <row r="12" customFormat="false" ht="15" hidden="false" customHeight="false" outlineLevel="0" collapsed="false">
      <c r="A12" s="3" t="s">
        <v>351</v>
      </c>
    </row>
    <row r="13" customFormat="false" ht="35.05" hidden="false" customHeight="false" outlineLevel="0" collapsed="false">
      <c r="A13" s="4" t="s">
        <v>341</v>
      </c>
      <c r="B13" s="4" t="s">
        <v>352</v>
      </c>
      <c r="C13" s="4" t="s">
        <v>353</v>
      </c>
      <c r="D13" s="4" t="s">
        <v>275</v>
      </c>
      <c r="E13" s="4" t="s">
        <v>342</v>
      </c>
      <c r="F13" s="4" t="s">
        <v>343</v>
      </c>
      <c r="G13" s="4" t="s">
        <v>354</v>
      </c>
      <c r="H13" s="4" t="s">
        <v>355</v>
      </c>
      <c r="I13" s="4" t="s">
        <v>356</v>
      </c>
      <c r="J13" s="4" t="s">
        <v>240</v>
      </c>
      <c r="K13" s="4" t="s">
        <v>357</v>
      </c>
      <c r="L13" s="4" t="s">
        <v>358</v>
      </c>
    </row>
    <row r="14" customFormat="false" ht="15" hidden="false" customHeight="false" outlineLevel="0" collapsed="false">
      <c r="A14" s="5" t="s">
        <v>346</v>
      </c>
      <c r="B14" s="6" t="s">
        <v>359</v>
      </c>
      <c r="C14" s="16" t="s">
        <v>360</v>
      </c>
      <c r="D14" s="24" t="n">
        <f aca="false">VALUE(MID(C14,1,1))</f>
        <v>0</v>
      </c>
      <c r="E14" s="24" t="n">
        <f aca="false">VALUE(MID(C14,2,1))</f>
        <v>2</v>
      </c>
      <c r="F14" s="24" t="n">
        <f aca="false">VALUE(MID(C14,3,1))</f>
        <v>0</v>
      </c>
      <c r="G14" s="24" t="n">
        <f aca="false">VALUE(MID(C14,4,1))</f>
        <v>0</v>
      </c>
      <c r="H14" s="18" t="n">
        <v>0.68</v>
      </c>
      <c r="I14" s="25" t="n">
        <v>0</v>
      </c>
      <c r="J14" s="25" t="n">
        <v>154</v>
      </c>
      <c r="K14" s="25" t="n">
        <v>100</v>
      </c>
      <c r="L14" s="25" t="n">
        <v>0</v>
      </c>
    </row>
    <row r="15" customFormat="false" ht="15" hidden="false" customHeight="false" outlineLevel="0" collapsed="false">
      <c r="A15" s="5" t="s">
        <v>346</v>
      </c>
      <c r="B15" s="6" t="s">
        <v>361</v>
      </c>
      <c r="C15" s="16" t="s">
        <v>362</v>
      </c>
      <c r="D15" s="24" t="n">
        <f aca="false">VALUE(MID(C15,1,1))</f>
        <v>1</v>
      </c>
      <c r="E15" s="24" t="n">
        <f aca="false">VALUE(MID(C15,2,1))</f>
        <v>1</v>
      </c>
      <c r="F15" s="24" t="n">
        <f aca="false">VALUE(MID(C15,3,1))</f>
        <v>1</v>
      </c>
      <c r="G15" s="24" t="n">
        <f aca="false">VALUE(MID(C15,4,1))</f>
        <v>0</v>
      </c>
      <c r="H15" s="18" t="n">
        <v>0.21</v>
      </c>
      <c r="I15" s="25" t="n">
        <v>210</v>
      </c>
      <c r="J15" s="25" t="n">
        <v>23</v>
      </c>
      <c r="K15" s="25" t="n">
        <v>58</v>
      </c>
      <c r="L15" s="25" t="n">
        <v>34</v>
      </c>
    </row>
    <row r="16" customFormat="false" ht="15" hidden="false" customHeight="false" outlineLevel="0" collapsed="false">
      <c r="A16" s="5" t="s">
        <v>346</v>
      </c>
      <c r="B16" s="6" t="s">
        <v>363</v>
      </c>
      <c r="C16" s="16" t="s">
        <v>364</v>
      </c>
      <c r="D16" s="24" t="n">
        <f aca="false">VALUE(MID(C16,1,1))</f>
        <v>0</v>
      </c>
      <c r="E16" s="24" t="n">
        <f aca="false">VALUE(MID(C16,2,1))</f>
        <v>1</v>
      </c>
      <c r="F16" s="24" t="n">
        <f aca="false">VALUE(MID(C16,3,1))</f>
        <v>1</v>
      </c>
      <c r="G16" s="24" t="n">
        <f aca="false">VALUE(MID(C16,4,1))</f>
        <v>1</v>
      </c>
      <c r="H16" s="18" t="n">
        <v>0.65</v>
      </c>
      <c r="I16" s="25" t="n">
        <v>57</v>
      </c>
      <c r="J16" s="25" t="n">
        <v>60</v>
      </c>
      <c r="K16" s="25" t="n">
        <v>66</v>
      </c>
      <c r="L16" s="25" t="n">
        <v>14</v>
      </c>
    </row>
    <row r="17" customFormat="false" ht="15" hidden="false" customHeight="false" outlineLevel="0" collapsed="false">
      <c r="A17" s="5" t="s">
        <v>347</v>
      </c>
      <c r="B17" s="6" t="s">
        <v>359</v>
      </c>
      <c r="C17" s="16" t="s">
        <v>365</v>
      </c>
      <c r="D17" s="24" t="n">
        <f aca="false">VALUE(MID(C17,1,1))</f>
        <v>1</v>
      </c>
      <c r="E17" s="24" t="n">
        <f aca="false">VALUE(MID(C17,2,1))</f>
        <v>1</v>
      </c>
      <c r="F17" s="24" t="n">
        <f aca="false">VALUE(MID(C17,3,1))</f>
        <v>1</v>
      </c>
      <c r="G17" s="24" t="n">
        <f aca="false">VALUE(MID(C17,4,1))</f>
        <v>2</v>
      </c>
      <c r="H17" s="18" t="n">
        <v>0.38</v>
      </c>
      <c r="I17" s="25" t="n">
        <v>210</v>
      </c>
      <c r="J17" s="25" t="n">
        <v>25</v>
      </c>
      <c r="K17" s="25" t="n">
        <v>66</v>
      </c>
      <c r="L17" s="25" t="n">
        <v>31</v>
      </c>
    </row>
    <row r="18" customFormat="false" ht="15" hidden="false" customHeight="false" outlineLevel="0" collapsed="false">
      <c r="A18" s="5" t="s">
        <v>347</v>
      </c>
      <c r="B18" s="6" t="s">
        <v>361</v>
      </c>
      <c r="C18" s="16" t="s">
        <v>366</v>
      </c>
      <c r="D18" s="24" t="n">
        <f aca="false">VALUE(MID(C18,1,1))</f>
        <v>2</v>
      </c>
      <c r="E18" s="24" t="n">
        <f aca="false">VALUE(MID(C18,2,1))</f>
        <v>1</v>
      </c>
      <c r="F18" s="24" t="n">
        <f aca="false">VALUE(MID(C18,3,1))</f>
        <v>1</v>
      </c>
      <c r="G18" s="24" t="n">
        <f aca="false">VALUE(MID(C18,4,1))</f>
        <v>2</v>
      </c>
      <c r="H18" s="18" t="n">
        <v>0.24</v>
      </c>
      <c r="I18" s="25" t="n">
        <v>248</v>
      </c>
      <c r="J18" s="25" t="n">
        <v>32</v>
      </c>
      <c r="K18" s="25" t="n">
        <v>55</v>
      </c>
      <c r="L18" s="25" t="n">
        <v>38</v>
      </c>
    </row>
    <row r="19" customFormat="false" ht="15" hidden="false" customHeight="false" outlineLevel="0" collapsed="false">
      <c r="A19" s="5" t="s">
        <v>347</v>
      </c>
      <c r="B19" s="6" t="s">
        <v>363</v>
      </c>
      <c r="C19" s="16" t="s">
        <v>367</v>
      </c>
      <c r="D19" s="24" t="n">
        <f aca="false">VALUE(MID(C19,1,1))</f>
        <v>1</v>
      </c>
      <c r="E19" s="24" t="n">
        <f aca="false">VALUE(MID(C19,2,1))</f>
        <v>1</v>
      </c>
      <c r="F19" s="24" t="n">
        <f aca="false">VALUE(MID(C19,3,1))</f>
        <v>1</v>
      </c>
      <c r="G19" s="24" t="n">
        <f aca="false">VALUE(MID(C19,4,1))</f>
        <v>1</v>
      </c>
      <c r="H19" s="18" t="n">
        <v>0.31</v>
      </c>
      <c r="I19" s="25" t="n">
        <v>200</v>
      </c>
      <c r="J19" s="25" t="n">
        <v>30</v>
      </c>
      <c r="K19" s="25" t="n">
        <v>58</v>
      </c>
      <c r="L19" s="25" t="n">
        <v>28</v>
      </c>
    </row>
    <row r="20" customFormat="false" ht="15" hidden="false" customHeight="false" outlineLevel="0" collapsed="false">
      <c r="A20" s="5" t="s">
        <v>348</v>
      </c>
      <c r="B20" s="6" t="s">
        <v>359</v>
      </c>
      <c r="C20" s="16" t="s">
        <v>368</v>
      </c>
      <c r="D20" s="24" t="n">
        <f aca="false">VALUE(MID(C20,1,1))</f>
        <v>0</v>
      </c>
      <c r="E20" s="24" t="n">
        <f aca="false">VALUE(MID(C20,2,1))</f>
        <v>0</v>
      </c>
      <c r="F20" s="24" t="n">
        <f aca="false">VALUE(MID(C20,3,1))</f>
        <v>0</v>
      </c>
      <c r="G20" s="24" t="n">
        <f aca="false">VALUE(MID(C20,4,1))</f>
        <v>2</v>
      </c>
      <c r="H20" s="18" t="n">
        <v>1</v>
      </c>
      <c r="I20" s="25" t="n">
        <v>0</v>
      </c>
      <c r="J20" s="25" t="n">
        <v>0</v>
      </c>
      <c r="K20" s="25" t="n">
        <v>100</v>
      </c>
      <c r="L20" s="25" t="n">
        <v>0</v>
      </c>
    </row>
    <row r="21" customFormat="false" ht="15" hidden="false" customHeight="false" outlineLevel="0" collapsed="false">
      <c r="A21" s="5" t="s">
        <v>348</v>
      </c>
      <c r="B21" s="6" t="s">
        <v>361</v>
      </c>
      <c r="C21" s="16" t="s">
        <v>369</v>
      </c>
      <c r="D21" s="24" t="n">
        <f aca="false">VALUE(MID(C21,1,1))</f>
        <v>1</v>
      </c>
      <c r="E21" s="24" t="n">
        <f aca="false">VALUE(MID(C21,2,1))</f>
        <v>0</v>
      </c>
      <c r="F21" s="24" t="n">
        <f aca="false">VALUE(MID(C21,3,1))</f>
        <v>0</v>
      </c>
      <c r="G21" s="24" t="n">
        <f aca="false">VALUE(MID(C21,4,1))</f>
        <v>2</v>
      </c>
      <c r="H21" s="18" t="n">
        <v>0</v>
      </c>
      <c r="I21" s="25" t="n">
        <v>310</v>
      </c>
      <c r="J21" s="25" t="n">
        <v>0</v>
      </c>
      <c r="K21" s="25" t="n">
        <v>90</v>
      </c>
      <c r="L21" s="25" t="n">
        <v>20</v>
      </c>
    </row>
    <row r="22" customFormat="false" ht="15" hidden="false" customHeight="false" outlineLevel="0" collapsed="false">
      <c r="A22" s="5" t="s">
        <v>348</v>
      </c>
      <c r="B22" s="6" t="s">
        <v>363</v>
      </c>
      <c r="C22" s="16" t="s">
        <v>370</v>
      </c>
      <c r="D22" s="24" t="n">
        <f aca="false">VALUE(MID(C22,1,1))</f>
        <v>0</v>
      </c>
      <c r="E22" s="24" t="n">
        <f aca="false">VALUE(MID(C22,2,1))</f>
        <v>0</v>
      </c>
      <c r="F22" s="24" t="n">
        <f aca="false">VALUE(MID(C22,3,1))</f>
        <v>0</v>
      </c>
      <c r="G22" s="24" t="n">
        <f aca="false">VALUE(MID(C22,4,1))</f>
        <v>1</v>
      </c>
      <c r="H22" s="18" t="n">
        <v>1</v>
      </c>
      <c r="I22" s="25" t="n">
        <v>0</v>
      </c>
      <c r="J22" s="25" t="n">
        <v>0</v>
      </c>
      <c r="K22" s="25" t="n">
        <v>100</v>
      </c>
      <c r="L22" s="25" t="n">
        <v>0</v>
      </c>
    </row>
    <row r="23" customFormat="false" ht="15" hidden="false" customHeight="false" outlineLevel="0" collapsed="false">
      <c r="A23" s="5" t="s">
        <v>349</v>
      </c>
      <c r="B23" s="6" t="s">
        <v>359</v>
      </c>
      <c r="C23" s="16" t="s">
        <v>371</v>
      </c>
      <c r="D23" s="24" t="n">
        <f aca="false">VALUE(MID(C23,1,1))</f>
        <v>1</v>
      </c>
      <c r="E23" s="24" t="n">
        <f aca="false">VALUE(MID(C23,2,1))</f>
        <v>2</v>
      </c>
      <c r="F23" s="24" t="n">
        <f aca="false">VALUE(MID(C23,3,1))</f>
        <v>2</v>
      </c>
      <c r="G23" s="24" t="n">
        <f aca="false">VALUE(MID(C23,4,1))</f>
        <v>1</v>
      </c>
      <c r="H23" s="18" t="n">
        <v>0.54</v>
      </c>
      <c r="I23" s="25" t="n">
        <v>158</v>
      </c>
      <c r="J23" s="25" t="n">
        <v>127</v>
      </c>
      <c r="K23" s="25" t="n">
        <v>15</v>
      </c>
      <c r="L23" s="25" t="n">
        <v>83</v>
      </c>
    </row>
    <row r="24" customFormat="false" ht="15" hidden="false" customHeight="false" outlineLevel="0" collapsed="false">
      <c r="A24" s="5" t="s">
        <v>349</v>
      </c>
      <c r="B24" s="6" t="s">
        <v>361</v>
      </c>
      <c r="C24" s="16" t="s">
        <v>372</v>
      </c>
      <c r="D24" s="24" t="n">
        <f aca="false">VALUE(MID(C24,1,1))</f>
        <v>2</v>
      </c>
      <c r="E24" s="24" t="n">
        <f aca="false">VALUE(MID(C24,2,1))</f>
        <v>2</v>
      </c>
      <c r="F24" s="24" t="n">
        <f aca="false">VALUE(MID(C24,3,1))</f>
        <v>1</v>
      </c>
      <c r="G24" s="24" t="n">
        <f aca="false">VALUE(MID(C24,4,1))</f>
        <v>1</v>
      </c>
      <c r="H24" s="18" t="n">
        <v>0.61</v>
      </c>
      <c r="I24" s="25" t="n">
        <v>101</v>
      </c>
      <c r="J24" s="25" t="n">
        <v>148</v>
      </c>
      <c r="K24" s="25" t="n">
        <v>73</v>
      </c>
      <c r="L24" s="25" t="n">
        <v>52</v>
      </c>
    </row>
    <row r="25" customFormat="false" ht="15" hidden="false" customHeight="false" outlineLevel="0" collapsed="false">
      <c r="A25" s="5" t="s">
        <v>349</v>
      </c>
      <c r="B25" s="6" t="s">
        <v>363</v>
      </c>
      <c r="C25" s="16" t="s">
        <v>373</v>
      </c>
      <c r="D25" s="24" t="n">
        <f aca="false">VALUE(MID(C25,1,1))</f>
        <v>1</v>
      </c>
      <c r="E25" s="24" t="n">
        <f aca="false">VALUE(MID(C25,2,1))</f>
        <v>2</v>
      </c>
      <c r="F25" s="24" t="n">
        <f aca="false">VALUE(MID(C25,3,1))</f>
        <v>1</v>
      </c>
      <c r="G25" s="24" t="n">
        <f aca="false">VALUE(MID(C25,4,1))</f>
        <v>1</v>
      </c>
      <c r="H25" s="18" t="n">
        <v>0.62</v>
      </c>
      <c r="I25" s="25" t="n">
        <v>78</v>
      </c>
      <c r="J25" s="25" t="n">
        <v>151</v>
      </c>
      <c r="K25" s="25" t="n">
        <v>76</v>
      </c>
      <c r="L25" s="25" t="n">
        <v>39</v>
      </c>
    </row>
    <row r="27" customFormat="false" ht="15" hidden="false" customHeight="false" outlineLevel="0" collapsed="false">
      <c r="A27" s="2" t="s">
        <v>374</v>
      </c>
    </row>
    <row r="28" customFormat="false" ht="15" hidden="false" customHeight="false" outlineLevel="0" collapsed="false">
      <c r="A28" s="2" t="s">
        <v>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0"/>
    <col collapsed="false" customWidth="true" hidden="false" outlineLevel="0" max="3" min="3" style="0" width="14"/>
    <col collapsed="false" customWidth="true" hidden="false" outlineLevel="0" max="4" min="4" style="0" width="12"/>
    <col collapsed="false" customWidth="true" hidden="false" outlineLevel="0" max="5" min="5" style="0" width="22"/>
    <col collapsed="false" customWidth="true" hidden="false" outlineLevel="0" max="6" min="6" style="0" width="40"/>
  </cols>
  <sheetData>
    <row r="1" customFormat="false" ht="17.35" hidden="false" customHeight="false" outlineLevel="0" collapsed="false">
      <c r="A1" s="1" t="s">
        <v>376</v>
      </c>
    </row>
    <row r="2" customFormat="false" ht="15" hidden="false" customHeight="false" outlineLevel="0" collapsed="false">
      <c r="A2" s="2" t="s">
        <v>377</v>
      </c>
    </row>
    <row r="4" customFormat="false" ht="23.85" hidden="false" customHeight="false" outlineLevel="0" collapsed="false">
      <c r="A4" s="4" t="s">
        <v>378</v>
      </c>
      <c r="B4" s="4" t="s">
        <v>81</v>
      </c>
      <c r="C4" s="4" t="s">
        <v>379</v>
      </c>
      <c r="D4" s="4" t="s">
        <v>83</v>
      </c>
      <c r="E4" s="4" t="s">
        <v>380</v>
      </c>
      <c r="F4" s="4" t="s">
        <v>381</v>
      </c>
    </row>
    <row r="5" customFormat="false" ht="23.85" hidden="false" customHeight="false" outlineLevel="0" collapsed="false">
      <c r="A5" s="6" t="s">
        <v>382</v>
      </c>
      <c r="B5" s="21" t="n">
        <v>1</v>
      </c>
      <c r="C5" s="6" t="s">
        <v>383</v>
      </c>
      <c r="D5" s="6" t="s">
        <v>384</v>
      </c>
      <c r="E5" s="6" t="s">
        <v>385</v>
      </c>
      <c r="F5" s="6" t="s">
        <v>386</v>
      </c>
    </row>
    <row r="6" customFormat="false" ht="15" hidden="false" customHeight="false" outlineLevel="0" collapsed="false">
      <c r="A6" s="6" t="s">
        <v>387</v>
      </c>
      <c r="B6" s="21" t="n">
        <v>12.3</v>
      </c>
      <c r="C6" s="6" t="s">
        <v>388</v>
      </c>
      <c r="D6" s="6" t="s">
        <v>384</v>
      </c>
      <c r="E6" s="6" t="s">
        <v>385</v>
      </c>
      <c r="F6" s="6" t="s">
        <v>389</v>
      </c>
    </row>
    <row r="7" customFormat="false" ht="15" hidden="false" customHeight="false" outlineLevel="0" collapsed="false">
      <c r="A7" s="6" t="s">
        <v>390</v>
      </c>
      <c r="B7" s="10" t="n">
        <v>68</v>
      </c>
      <c r="C7" s="6" t="s">
        <v>391</v>
      </c>
      <c r="D7" s="6" t="s">
        <v>392</v>
      </c>
      <c r="E7" s="26" t="n">
        <f aca="false">CMO_Tab5!H14*100</f>
        <v>68</v>
      </c>
      <c r="F7" s="6" t="s">
        <v>393</v>
      </c>
    </row>
    <row r="8" customFormat="false" ht="15" hidden="false" customHeight="false" outlineLevel="0" collapsed="false">
      <c r="A8" s="6" t="s">
        <v>394</v>
      </c>
      <c r="B8" s="10" t="n">
        <v>21</v>
      </c>
      <c r="C8" s="6" t="s">
        <v>391</v>
      </c>
      <c r="D8" s="6" t="s">
        <v>392</v>
      </c>
      <c r="E8" s="26" t="n">
        <f aca="false">CMO_Tab5!H15*100</f>
        <v>21</v>
      </c>
      <c r="F8" s="6" t="s">
        <v>393</v>
      </c>
    </row>
    <row r="9" customFormat="false" ht="15" hidden="false" customHeight="false" outlineLevel="0" collapsed="false">
      <c r="A9" s="6" t="s">
        <v>395</v>
      </c>
      <c r="B9" s="10" t="s">
        <v>396</v>
      </c>
      <c r="C9" s="6" t="s">
        <v>397</v>
      </c>
      <c r="D9" s="6" t="s">
        <v>398</v>
      </c>
      <c r="E9" s="27" t="n">
        <f aca="false">CMO_Tab5!H16/CMO_Tab5!H15</f>
        <v>3.0952380952381</v>
      </c>
      <c r="F9" s="6" t="s">
        <v>399</v>
      </c>
    </row>
    <row r="10" customFormat="false" ht="15" hidden="false" customHeight="false" outlineLevel="0" collapsed="false">
      <c r="A10" s="6" t="s">
        <v>400</v>
      </c>
      <c r="B10" s="10" t="s">
        <v>401</v>
      </c>
      <c r="C10" s="6" t="s">
        <v>402</v>
      </c>
      <c r="D10" s="6" t="s">
        <v>398</v>
      </c>
      <c r="E10" s="28" t="n">
        <f aca="false">1-CMO_Tab5!I16/CMO_Tab5!I15</f>
        <v>0.728571428571429</v>
      </c>
      <c r="F10" s="6" t="s">
        <v>403</v>
      </c>
    </row>
    <row r="11" customFormat="false" ht="23.85" hidden="false" customHeight="false" outlineLevel="0" collapsed="false">
      <c r="A11" s="6" t="s">
        <v>404</v>
      </c>
      <c r="B11" s="10" t="s">
        <v>405</v>
      </c>
      <c r="C11" s="6" t="s">
        <v>402</v>
      </c>
      <c r="D11" s="6" t="s">
        <v>398</v>
      </c>
      <c r="E11" s="28" t="n">
        <f aca="false">1-CMO_Tab5!L16/CMO_Tab5!L15</f>
        <v>0.588235294117647</v>
      </c>
      <c r="F11" s="6" t="s">
        <v>406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10"/>
    <col collapsed="false" customWidth="true" hidden="false" outlineLevel="0" max="4" min="4" style="0" width="26"/>
    <col collapsed="false" customWidth="true" hidden="false" outlineLevel="0" max="5" min="5" style="0" width="30"/>
    <col collapsed="false" customWidth="true" hidden="false" outlineLevel="0" max="6" min="6" style="0" width="52"/>
    <col collapsed="false" customWidth="true" hidden="false" outlineLevel="0" max="7" min="7" style="0" width="30"/>
  </cols>
  <sheetData>
    <row r="1" customFormat="false" ht="17.35" hidden="false" customHeight="false" outlineLevel="0" collapsed="false">
      <c r="A1" s="1" t="s">
        <v>407</v>
      </c>
    </row>
    <row r="2" customFormat="false" ht="15" hidden="false" customHeight="false" outlineLevel="0" collapsed="false">
      <c r="A2" s="2" t="s">
        <v>408</v>
      </c>
    </row>
    <row r="4" customFormat="false" ht="23.85" hidden="false" customHeight="false" outlineLevel="0" collapsed="false">
      <c r="A4" s="4" t="s">
        <v>409</v>
      </c>
      <c r="B4" s="4" t="s">
        <v>410</v>
      </c>
      <c r="C4" s="4" t="s">
        <v>83</v>
      </c>
      <c r="D4" s="4" t="s">
        <v>411</v>
      </c>
      <c r="E4" s="4" t="s">
        <v>412</v>
      </c>
      <c r="F4" s="4" t="s">
        <v>413</v>
      </c>
      <c r="G4" s="4" t="s">
        <v>414</v>
      </c>
    </row>
    <row r="5" customFormat="false" ht="46.25" hidden="false" customHeight="false" outlineLevel="0" collapsed="false">
      <c r="A5" s="5" t="n">
        <v>1</v>
      </c>
      <c r="B5" s="6" t="s">
        <v>415</v>
      </c>
      <c r="C5" s="6" t="s">
        <v>384</v>
      </c>
      <c r="D5" s="6" t="s">
        <v>416</v>
      </c>
      <c r="E5" s="6" t="s">
        <v>417</v>
      </c>
      <c r="F5" s="6" t="s">
        <v>418</v>
      </c>
      <c r="G5" s="29"/>
    </row>
    <row r="6" customFormat="false" ht="68.65" hidden="false" customHeight="false" outlineLevel="0" collapsed="false">
      <c r="A6" s="5" t="n">
        <v>2</v>
      </c>
      <c r="B6" s="6" t="s">
        <v>419</v>
      </c>
      <c r="C6" s="6" t="s">
        <v>384</v>
      </c>
      <c r="D6" s="6" t="s">
        <v>420</v>
      </c>
      <c r="E6" s="6" t="s">
        <v>421</v>
      </c>
      <c r="F6" s="6" t="s">
        <v>422</v>
      </c>
      <c r="G6" s="29"/>
    </row>
    <row r="7" customFormat="false" ht="46.25" hidden="false" customHeight="false" outlineLevel="0" collapsed="false">
      <c r="A7" s="5" t="n">
        <v>3</v>
      </c>
      <c r="B7" s="6" t="s">
        <v>423</v>
      </c>
      <c r="C7" s="6" t="s">
        <v>424</v>
      </c>
      <c r="D7" s="6" t="s">
        <v>425</v>
      </c>
      <c r="E7" s="6" t="s">
        <v>426</v>
      </c>
      <c r="F7" s="6" t="s">
        <v>427</v>
      </c>
      <c r="G7" s="29"/>
    </row>
    <row r="8" customFormat="false" ht="79.85" hidden="false" customHeight="false" outlineLevel="0" collapsed="false">
      <c r="A8" s="5" t="n">
        <v>4</v>
      </c>
      <c r="B8" s="6" t="s">
        <v>428</v>
      </c>
      <c r="C8" s="6" t="s">
        <v>424</v>
      </c>
      <c r="D8" s="6" t="s">
        <v>425</v>
      </c>
      <c r="E8" s="6" t="s">
        <v>429</v>
      </c>
      <c r="F8" s="6" t="s">
        <v>430</v>
      </c>
      <c r="G8" s="29"/>
    </row>
    <row r="9" customFormat="false" ht="57.45" hidden="false" customHeight="false" outlineLevel="0" collapsed="false">
      <c r="A9" s="5" t="n">
        <v>5</v>
      </c>
      <c r="B9" s="6" t="s">
        <v>431</v>
      </c>
      <c r="C9" s="6" t="s">
        <v>424</v>
      </c>
      <c r="D9" s="6" t="s">
        <v>425</v>
      </c>
      <c r="E9" s="6" t="s">
        <v>432</v>
      </c>
      <c r="F9" s="6" t="s">
        <v>433</v>
      </c>
      <c r="G9" s="29"/>
    </row>
    <row r="10" customFormat="false" ht="46.25" hidden="false" customHeight="false" outlineLevel="0" collapsed="false">
      <c r="A10" s="5" t="n">
        <v>6</v>
      </c>
      <c r="B10" s="6" t="s">
        <v>434</v>
      </c>
      <c r="C10" s="6" t="s">
        <v>424</v>
      </c>
      <c r="D10" s="6" t="s">
        <v>435</v>
      </c>
      <c r="E10" s="6" t="s">
        <v>436</v>
      </c>
      <c r="F10" s="6" t="s">
        <v>437</v>
      </c>
      <c r="G10" s="29"/>
    </row>
    <row r="11" customFormat="false" ht="46.25" hidden="false" customHeight="false" outlineLevel="0" collapsed="false">
      <c r="A11" s="5" t="n">
        <v>7</v>
      </c>
      <c r="B11" s="6" t="s">
        <v>438</v>
      </c>
      <c r="C11" s="6" t="s">
        <v>439</v>
      </c>
      <c r="D11" s="6" t="s">
        <v>440</v>
      </c>
      <c r="E11" s="6" t="s">
        <v>441</v>
      </c>
      <c r="F11" s="6" t="s">
        <v>442</v>
      </c>
      <c r="G11" s="29"/>
    </row>
    <row r="12" customFormat="false" ht="35.05" hidden="false" customHeight="false" outlineLevel="0" collapsed="false">
      <c r="A12" s="5" t="n">
        <v>8</v>
      </c>
      <c r="B12" s="6" t="s">
        <v>443</v>
      </c>
      <c r="C12" s="6" t="s">
        <v>444</v>
      </c>
      <c r="D12" s="6" t="s">
        <v>445</v>
      </c>
      <c r="E12" s="6" t="s">
        <v>446</v>
      </c>
      <c r="F12" s="6" t="s">
        <v>447</v>
      </c>
      <c r="G12" s="29"/>
    </row>
    <row r="14" customFormat="false" ht="15" hidden="false" customHeight="false" outlineLevel="0" collapsed="false">
      <c r="A14" s="2" t="s">
        <v>448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6"/>
    <col collapsed="false" customWidth="true" hidden="false" outlineLevel="0" max="3" min="3" style="0" width="26"/>
    <col collapsed="false" customWidth="true" hidden="false" outlineLevel="0" max="4" min="4" style="0" width="12"/>
    <col collapsed="false" customWidth="true" hidden="false" outlineLevel="0" max="5" min="5" style="0" width="70"/>
  </cols>
  <sheetData>
    <row r="1" customFormat="false" ht="17.35" hidden="false" customHeight="false" outlineLevel="0" collapsed="false">
      <c r="A1" s="1" t="s">
        <v>449</v>
      </c>
    </row>
    <row r="2" customFormat="false" ht="15" hidden="false" customHeight="false" outlineLevel="0" collapsed="false">
      <c r="A2" s="2" t="s">
        <v>450</v>
      </c>
    </row>
    <row r="4" customFormat="false" ht="15" hidden="false" customHeight="false" outlineLevel="0" collapsed="false">
      <c r="A4" s="4" t="s">
        <v>451</v>
      </c>
      <c r="B4" s="4" t="s">
        <v>80</v>
      </c>
      <c r="C4" s="4" t="s">
        <v>81</v>
      </c>
      <c r="D4" s="4" t="s">
        <v>83</v>
      </c>
      <c r="E4" s="4" t="s">
        <v>84</v>
      </c>
    </row>
    <row r="5" customFormat="false" ht="15" hidden="false" customHeight="false" outlineLevel="0" collapsed="false">
      <c r="A5" s="6" t="s">
        <v>452</v>
      </c>
      <c r="B5" s="6" t="s">
        <v>453</v>
      </c>
      <c r="C5" s="10" t="s">
        <v>454</v>
      </c>
      <c r="D5" s="6" t="s">
        <v>455</v>
      </c>
      <c r="E5" s="6" t="s">
        <v>456</v>
      </c>
    </row>
    <row r="6" customFormat="false" ht="15" hidden="false" customHeight="false" outlineLevel="0" collapsed="false">
      <c r="A6" s="6" t="s">
        <v>452</v>
      </c>
      <c r="B6" s="6" t="s">
        <v>457</v>
      </c>
      <c r="C6" s="10" t="s">
        <v>458</v>
      </c>
      <c r="D6" s="6" t="s">
        <v>455</v>
      </c>
      <c r="E6" s="6"/>
    </row>
    <row r="7" customFormat="false" ht="15" hidden="false" customHeight="false" outlineLevel="0" collapsed="false">
      <c r="A7" s="6" t="s">
        <v>452</v>
      </c>
      <c r="B7" s="6" t="s">
        <v>459</v>
      </c>
      <c r="C7" s="10" t="s">
        <v>460</v>
      </c>
      <c r="D7" s="6" t="s">
        <v>455</v>
      </c>
      <c r="E7" s="6"/>
    </row>
    <row r="8" customFormat="false" ht="15" hidden="false" customHeight="false" outlineLevel="0" collapsed="false">
      <c r="A8" s="6" t="s">
        <v>461</v>
      </c>
      <c r="B8" s="6" t="s">
        <v>462</v>
      </c>
      <c r="C8" s="10" t="s">
        <v>463</v>
      </c>
      <c r="D8" s="6" t="s">
        <v>464</v>
      </c>
      <c r="E8" s="6" t="s">
        <v>465</v>
      </c>
    </row>
    <row r="9" customFormat="false" ht="15" hidden="false" customHeight="false" outlineLevel="0" collapsed="false">
      <c r="A9" s="6" t="s">
        <v>461</v>
      </c>
      <c r="B9" s="6" t="s">
        <v>466</v>
      </c>
      <c r="C9" s="10" t="s">
        <v>467</v>
      </c>
      <c r="D9" s="6" t="s">
        <v>464</v>
      </c>
      <c r="E9" s="6"/>
    </row>
    <row r="10" customFormat="false" ht="15" hidden="false" customHeight="false" outlineLevel="0" collapsed="false">
      <c r="A10" s="6" t="s">
        <v>461</v>
      </c>
      <c r="B10" s="6" t="s">
        <v>468</v>
      </c>
      <c r="C10" s="10" t="s">
        <v>469</v>
      </c>
      <c r="D10" s="6" t="s">
        <v>464</v>
      </c>
      <c r="E10" s="6"/>
    </row>
    <row r="11" customFormat="false" ht="15" hidden="false" customHeight="false" outlineLevel="0" collapsed="false">
      <c r="A11" s="6" t="s">
        <v>461</v>
      </c>
      <c r="B11" s="6" t="s">
        <v>470</v>
      </c>
      <c r="C11" s="10" t="s">
        <v>471</v>
      </c>
      <c r="D11" s="6" t="s">
        <v>464</v>
      </c>
      <c r="E11" s="6" t="s">
        <v>472</v>
      </c>
    </row>
    <row r="12" customFormat="false" ht="15" hidden="false" customHeight="false" outlineLevel="0" collapsed="false">
      <c r="A12" s="6" t="s">
        <v>461</v>
      </c>
      <c r="B12" s="6" t="s">
        <v>473</v>
      </c>
      <c r="C12" s="10" t="s">
        <v>474</v>
      </c>
      <c r="D12" s="6" t="s">
        <v>464</v>
      </c>
      <c r="E12" s="6" t="s">
        <v>475</v>
      </c>
    </row>
    <row r="13" customFormat="false" ht="35.05" hidden="false" customHeight="false" outlineLevel="0" collapsed="false">
      <c r="A13" s="6" t="s">
        <v>461</v>
      </c>
      <c r="B13" s="6" t="s">
        <v>476</v>
      </c>
      <c r="C13" s="10" t="s">
        <v>477</v>
      </c>
      <c r="D13" s="6" t="s">
        <v>478</v>
      </c>
      <c r="E13" s="6" t="s">
        <v>479</v>
      </c>
    </row>
    <row r="14" customFormat="false" ht="57.45" hidden="false" customHeight="false" outlineLevel="0" collapsed="false">
      <c r="A14" s="6" t="s">
        <v>461</v>
      </c>
      <c r="B14" s="6" t="s">
        <v>480</v>
      </c>
      <c r="C14" s="10" t="s">
        <v>481</v>
      </c>
      <c r="D14" s="6" t="s">
        <v>464</v>
      </c>
      <c r="E14" s="6" t="s">
        <v>482</v>
      </c>
    </row>
    <row r="15" customFormat="false" ht="57.45" hidden="false" customHeight="false" outlineLevel="0" collapsed="false">
      <c r="A15" s="6" t="s">
        <v>483</v>
      </c>
      <c r="B15" s="6" t="s">
        <v>484</v>
      </c>
      <c r="C15" s="10" t="s">
        <v>485</v>
      </c>
      <c r="D15" s="6" t="s">
        <v>486</v>
      </c>
      <c r="E15" s="6" t="s">
        <v>487</v>
      </c>
    </row>
    <row r="16" customFormat="false" ht="23.85" hidden="false" customHeight="false" outlineLevel="0" collapsed="false">
      <c r="A16" s="6" t="s">
        <v>488</v>
      </c>
      <c r="B16" s="6" t="s">
        <v>489</v>
      </c>
      <c r="C16" s="10" t="s">
        <v>128</v>
      </c>
      <c r="D16" s="6" t="s">
        <v>490</v>
      </c>
      <c r="E16" s="6" t="s">
        <v>491</v>
      </c>
    </row>
    <row r="17" customFormat="false" ht="35.05" hidden="false" customHeight="false" outlineLevel="0" collapsed="false">
      <c r="A17" s="6" t="s">
        <v>344</v>
      </c>
      <c r="B17" s="6" t="s">
        <v>492</v>
      </c>
      <c r="C17" s="10" t="s">
        <v>493</v>
      </c>
      <c r="D17" s="6" t="s">
        <v>494</v>
      </c>
      <c r="E17" s="6" t="s">
        <v>495</v>
      </c>
    </row>
    <row r="18" customFormat="false" ht="23.85" hidden="false" customHeight="false" outlineLevel="0" collapsed="false">
      <c r="A18" s="6" t="s">
        <v>496</v>
      </c>
      <c r="B18" s="6" t="s">
        <v>497</v>
      </c>
      <c r="C18" s="10" t="s">
        <v>461</v>
      </c>
      <c r="D18" s="6" t="s">
        <v>498</v>
      </c>
      <c r="E18" s="6" t="s">
        <v>499</v>
      </c>
    </row>
    <row r="19" customFormat="false" ht="35.05" hidden="false" customHeight="false" outlineLevel="0" collapsed="false">
      <c r="A19" s="6" t="s">
        <v>500</v>
      </c>
      <c r="B19" s="6" t="s">
        <v>497</v>
      </c>
      <c r="C19" s="10" t="s">
        <v>501</v>
      </c>
      <c r="D19" s="6" t="s">
        <v>502</v>
      </c>
      <c r="E19" s="6" t="s">
        <v>503</v>
      </c>
    </row>
    <row r="20" customFormat="false" ht="46.25" hidden="false" customHeight="false" outlineLevel="0" collapsed="false">
      <c r="A20" s="6" t="s">
        <v>504</v>
      </c>
      <c r="B20" s="6" t="s">
        <v>497</v>
      </c>
      <c r="C20" s="10" t="s">
        <v>505</v>
      </c>
      <c r="D20" s="6" t="s">
        <v>506</v>
      </c>
      <c r="E20" s="6" t="s">
        <v>499</v>
      </c>
    </row>
    <row r="21" customFormat="false" ht="102.2" hidden="false" customHeight="false" outlineLevel="0" collapsed="false">
      <c r="A21" s="6" t="s">
        <v>507</v>
      </c>
      <c r="B21" s="6" t="s">
        <v>497</v>
      </c>
      <c r="C21" s="10" t="s">
        <v>508</v>
      </c>
      <c r="D21" s="6" t="s">
        <v>509</v>
      </c>
      <c r="E21" s="6" t="s">
        <v>510</v>
      </c>
    </row>
    <row r="22" customFormat="false" ht="135.8" hidden="false" customHeight="false" outlineLevel="0" collapsed="false">
      <c r="A22" s="6" t="s">
        <v>511</v>
      </c>
      <c r="B22" s="6" t="s">
        <v>497</v>
      </c>
      <c r="C22" s="10" t="s">
        <v>512</v>
      </c>
      <c r="D22" s="6" t="s">
        <v>513</v>
      </c>
      <c r="E22" s="6" t="s">
        <v>514</v>
      </c>
    </row>
    <row r="23" customFormat="false" ht="23.85" hidden="false" customHeight="false" outlineLevel="0" collapsed="false">
      <c r="A23" s="6" t="s">
        <v>515</v>
      </c>
      <c r="B23" s="6" t="s">
        <v>516</v>
      </c>
      <c r="C23" s="10" t="s">
        <v>517</v>
      </c>
      <c r="D23" s="6" t="s">
        <v>518</v>
      </c>
      <c r="E23" s="6" t="s">
        <v>519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24"/>
    <col collapsed="false" customWidth="true" hidden="false" outlineLevel="0" max="4" min="4" style="0" width="56"/>
    <col collapsed="false" customWidth="true" hidden="false" outlineLevel="0" max="6" min="5" style="0" width="44"/>
  </cols>
  <sheetData>
    <row r="1" customFormat="false" ht="17.35" hidden="false" customHeight="false" outlineLevel="0" collapsed="false">
      <c r="A1" s="1" t="s">
        <v>520</v>
      </c>
    </row>
    <row r="2" customFormat="false" ht="15" hidden="false" customHeight="false" outlineLevel="0" collapsed="false">
      <c r="A2" s="2" t="s">
        <v>521</v>
      </c>
    </row>
    <row r="4" customFormat="false" ht="23.85" hidden="false" customHeight="false" outlineLevel="0" collapsed="false">
      <c r="A4" s="4" t="s">
        <v>522</v>
      </c>
      <c r="B4" s="4" t="s">
        <v>204</v>
      </c>
      <c r="C4" s="4" t="s">
        <v>523</v>
      </c>
      <c r="D4" s="4" t="s">
        <v>524</v>
      </c>
      <c r="E4" s="4" t="s">
        <v>525</v>
      </c>
      <c r="F4" s="4" t="s">
        <v>526</v>
      </c>
    </row>
    <row r="5" customFormat="false" ht="23.85" hidden="false" customHeight="false" outlineLevel="0" collapsed="false">
      <c r="A5" s="6" t="s">
        <v>527</v>
      </c>
      <c r="B5" s="6" t="s">
        <v>232</v>
      </c>
      <c r="C5" s="5" t="s">
        <v>528</v>
      </c>
      <c r="D5" s="6" t="s">
        <v>529</v>
      </c>
      <c r="E5" s="6" t="s">
        <v>530</v>
      </c>
      <c r="F5" s="6" t="s">
        <v>531</v>
      </c>
    </row>
    <row r="6" customFormat="false" ht="35.05" hidden="false" customHeight="false" outlineLevel="0" collapsed="false">
      <c r="A6" s="6" t="s">
        <v>356</v>
      </c>
      <c r="B6" s="6" t="s">
        <v>243</v>
      </c>
      <c r="C6" s="5" t="s">
        <v>532</v>
      </c>
      <c r="D6" s="6" t="s">
        <v>533</v>
      </c>
      <c r="E6" s="6" t="s">
        <v>534</v>
      </c>
      <c r="F6" s="6" t="s">
        <v>535</v>
      </c>
    </row>
    <row r="7" customFormat="false" ht="23.85" hidden="false" customHeight="false" outlineLevel="0" collapsed="false">
      <c r="A7" s="6" t="s">
        <v>240</v>
      </c>
      <c r="B7" s="6" t="s">
        <v>238</v>
      </c>
      <c r="C7" s="5" t="s">
        <v>536</v>
      </c>
      <c r="D7" s="6" t="s">
        <v>537</v>
      </c>
      <c r="E7" s="6" t="s">
        <v>538</v>
      </c>
      <c r="F7" s="6" t="s">
        <v>539</v>
      </c>
    </row>
    <row r="8" customFormat="false" ht="23.85" hidden="false" customHeight="false" outlineLevel="0" collapsed="false">
      <c r="A8" s="6" t="s">
        <v>540</v>
      </c>
      <c r="B8" s="6" t="s">
        <v>227</v>
      </c>
      <c r="C8" s="5" t="s">
        <v>541</v>
      </c>
      <c r="D8" s="6" t="s">
        <v>542</v>
      </c>
      <c r="E8" s="6" t="s">
        <v>543</v>
      </c>
      <c r="F8" s="6" t="s">
        <v>544</v>
      </c>
    </row>
    <row r="9" customFormat="false" ht="23.85" hidden="false" customHeight="false" outlineLevel="0" collapsed="false">
      <c r="A9" s="6" t="s">
        <v>545</v>
      </c>
      <c r="B9" s="6" t="s">
        <v>221</v>
      </c>
      <c r="C9" s="5" t="s">
        <v>546</v>
      </c>
      <c r="D9" s="6" t="s">
        <v>547</v>
      </c>
      <c r="E9" s="6" t="s">
        <v>548</v>
      </c>
      <c r="F9" s="6" t="s">
        <v>531</v>
      </c>
    </row>
    <row r="10" customFormat="false" ht="23.85" hidden="false" customHeight="false" outlineLevel="0" collapsed="false">
      <c r="A10" s="6" t="s">
        <v>549</v>
      </c>
      <c r="B10" s="6" t="s">
        <v>550</v>
      </c>
      <c r="C10" s="5" t="s">
        <v>551</v>
      </c>
      <c r="D10" s="6" t="s">
        <v>552</v>
      </c>
      <c r="E10" s="6" t="s">
        <v>553</v>
      </c>
      <c r="F10" s="6" t="s">
        <v>539</v>
      </c>
    </row>
    <row r="11" customFormat="false" ht="23.85" hidden="false" customHeight="false" outlineLevel="0" collapsed="false">
      <c r="A11" s="6" t="s">
        <v>554</v>
      </c>
      <c r="B11" s="6" t="s">
        <v>555</v>
      </c>
      <c r="C11" s="5" t="s">
        <v>556</v>
      </c>
      <c r="D11" s="6" t="s">
        <v>557</v>
      </c>
      <c r="E11" s="6" t="s">
        <v>558</v>
      </c>
      <c r="F11" s="6" t="s">
        <v>559</v>
      </c>
    </row>
    <row r="12" customFormat="false" ht="23.85" hidden="false" customHeight="false" outlineLevel="0" collapsed="false">
      <c r="A12" s="6" t="s">
        <v>560</v>
      </c>
      <c r="B12" s="6" t="s">
        <v>259</v>
      </c>
      <c r="C12" s="5" t="s">
        <v>561</v>
      </c>
      <c r="D12" s="6" t="s">
        <v>562</v>
      </c>
      <c r="E12" s="6" t="s">
        <v>563</v>
      </c>
      <c r="F12" s="6" t="s">
        <v>564</v>
      </c>
    </row>
    <row r="13" customFormat="false" ht="23.85" hidden="false" customHeight="false" outlineLevel="0" collapsed="false">
      <c r="A13" s="6" t="s">
        <v>565</v>
      </c>
      <c r="B13" s="6" t="s">
        <v>210</v>
      </c>
      <c r="C13" s="5" t="s">
        <v>566</v>
      </c>
      <c r="D13" s="6" t="s">
        <v>567</v>
      </c>
      <c r="E13" s="6" t="s">
        <v>543</v>
      </c>
      <c r="F13" s="6" t="s">
        <v>544</v>
      </c>
    </row>
    <row r="14" customFormat="false" ht="23.85" hidden="false" customHeight="false" outlineLevel="0" collapsed="false">
      <c r="A14" s="6" t="s">
        <v>568</v>
      </c>
      <c r="B14" s="6" t="s">
        <v>215</v>
      </c>
      <c r="C14" s="5" t="s">
        <v>569</v>
      </c>
      <c r="D14" s="6" t="s">
        <v>570</v>
      </c>
      <c r="E14" s="6" t="s">
        <v>543</v>
      </c>
      <c r="F14" s="6" t="s">
        <v>571</v>
      </c>
    </row>
    <row r="15" customFormat="false" ht="35.05" hidden="false" customHeight="false" outlineLevel="0" collapsed="false">
      <c r="A15" s="6" t="s">
        <v>572</v>
      </c>
      <c r="B15" s="6" t="s">
        <v>573</v>
      </c>
      <c r="C15" s="5" t="s">
        <v>574</v>
      </c>
      <c r="D15" s="6" t="s">
        <v>575</v>
      </c>
      <c r="E15" s="6" t="s">
        <v>576</v>
      </c>
      <c r="F15" s="6" t="s">
        <v>577</v>
      </c>
    </row>
    <row r="16" customFormat="false" ht="35.05" hidden="false" customHeight="false" outlineLevel="0" collapsed="false">
      <c r="A16" s="6" t="s">
        <v>578</v>
      </c>
      <c r="B16" s="6"/>
      <c r="C16" s="5" t="s">
        <v>579</v>
      </c>
      <c r="D16" s="6" t="s">
        <v>580</v>
      </c>
      <c r="E16" s="6" t="s">
        <v>581</v>
      </c>
      <c r="F16" s="6" t="s">
        <v>582</v>
      </c>
    </row>
    <row r="17" customFormat="false" ht="35.05" hidden="false" customHeight="false" outlineLevel="0" collapsed="false">
      <c r="A17" s="6" t="s">
        <v>578</v>
      </c>
      <c r="B17" s="6"/>
      <c r="C17" s="5" t="s">
        <v>583</v>
      </c>
      <c r="D17" s="6" t="s">
        <v>584</v>
      </c>
      <c r="E17" s="6" t="s">
        <v>585</v>
      </c>
      <c r="F17" s="6" t="s">
        <v>586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8"/>
    <col collapsed="false" customWidth="true" hidden="false" outlineLevel="0" max="3" min="3" style="0" width="14"/>
    <col collapsed="false" customWidth="true" hidden="false" outlineLevel="0" max="4" min="4" style="0" width="22"/>
    <col collapsed="false" customWidth="true" hidden="false" outlineLevel="0" max="5" min="5" style="0" width="30"/>
    <col collapsed="false" customWidth="true" hidden="false" outlineLevel="0" max="6" min="6" style="0" width="60"/>
  </cols>
  <sheetData>
    <row r="1" customFormat="false" ht="17.35" hidden="false" customHeight="false" outlineLevel="0" collapsed="false">
      <c r="A1" s="1" t="s">
        <v>587</v>
      </c>
    </row>
    <row r="2" customFormat="false" ht="15" hidden="false" customHeight="false" outlineLevel="0" collapsed="false">
      <c r="A2" s="2" t="s">
        <v>588</v>
      </c>
    </row>
    <row r="4" customFormat="false" ht="15" hidden="false" customHeight="false" outlineLevel="0" collapsed="false">
      <c r="A4" s="4" t="s">
        <v>589</v>
      </c>
      <c r="B4" s="4" t="s">
        <v>590</v>
      </c>
      <c r="C4" s="4" t="s">
        <v>591</v>
      </c>
      <c r="D4" s="4" t="s">
        <v>592</v>
      </c>
      <c r="E4" s="4" t="s">
        <v>593</v>
      </c>
      <c r="F4" s="4" t="s">
        <v>84</v>
      </c>
    </row>
    <row r="5" customFormat="false" ht="23.85" hidden="false" customHeight="false" outlineLevel="0" collapsed="false">
      <c r="A5" s="5" t="s">
        <v>594</v>
      </c>
      <c r="B5" s="6" t="s">
        <v>595</v>
      </c>
      <c r="C5" s="30" t="n">
        <v>91.1</v>
      </c>
      <c r="D5" s="6" t="s">
        <v>37</v>
      </c>
      <c r="E5" s="6" t="s">
        <v>596</v>
      </c>
      <c r="F5" s="6" t="s">
        <v>597</v>
      </c>
    </row>
    <row r="6" customFormat="false" ht="23.85" hidden="false" customHeight="false" outlineLevel="0" collapsed="false">
      <c r="A6" s="5" t="s">
        <v>594</v>
      </c>
      <c r="B6" s="6" t="s">
        <v>598</v>
      </c>
      <c r="C6" s="30" t="n">
        <v>8.9</v>
      </c>
      <c r="D6" s="6" t="s">
        <v>37</v>
      </c>
      <c r="E6" s="6" t="s">
        <v>596</v>
      </c>
      <c r="F6" s="6" t="s">
        <v>599</v>
      </c>
    </row>
    <row r="7" customFormat="false" ht="15" hidden="false" customHeight="false" outlineLevel="0" collapsed="false">
      <c r="A7" s="5" t="s">
        <v>600</v>
      </c>
      <c r="B7" s="6" t="s">
        <v>601</v>
      </c>
      <c r="C7" s="30" t="n">
        <v>8.7</v>
      </c>
      <c r="D7" s="6" t="s">
        <v>37</v>
      </c>
      <c r="E7" s="6" t="s">
        <v>596</v>
      </c>
      <c r="F7" s="6" t="s">
        <v>599</v>
      </c>
    </row>
    <row r="8" customFormat="false" ht="23.85" hidden="false" customHeight="false" outlineLevel="0" collapsed="false">
      <c r="A8" s="5" t="s">
        <v>600</v>
      </c>
      <c r="B8" s="6" t="s">
        <v>602</v>
      </c>
      <c r="C8" s="30" t="n">
        <v>3.6</v>
      </c>
      <c r="D8" s="6" t="s">
        <v>37</v>
      </c>
      <c r="E8" s="6" t="s">
        <v>596</v>
      </c>
      <c r="F8" s="6" t="s">
        <v>599</v>
      </c>
    </row>
    <row r="9" customFormat="false" ht="15" hidden="false" customHeight="false" outlineLevel="0" collapsed="false">
      <c r="A9" s="5" t="s">
        <v>600</v>
      </c>
      <c r="B9" s="6" t="s">
        <v>603</v>
      </c>
      <c r="C9" s="30" t="n">
        <v>87.7</v>
      </c>
      <c r="D9" s="6" t="s">
        <v>37</v>
      </c>
      <c r="E9" s="6" t="s">
        <v>596</v>
      </c>
      <c r="F9" s="6" t="s">
        <v>604</v>
      </c>
    </row>
    <row r="10" customFormat="false" ht="23.85" hidden="false" customHeight="false" outlineLevel="0" collapsed="false">
      <c r="A10" s="5" t="s">
        <v>605</v>
      </c>
      <c r="B10" s="6" t="s">
        <v>606</v>
      </c>
      <c r="C10" s="21" t="n">
        <v>13.4</v>
      </c>
      <c r="D10" s="6" t="s">
        <v>35</v>
      </c>
      <c r="E10" s="6" t="s">
        <v>607</v>
      </c>
      <c r="F10" s="6" t="s">
        <v>608</v>
      </c>
    </row>
    <row r="11" customFormat="false" ht="15" hidden="false" customHeight="false" outlineLevel="0" collapsed="false">
      <c r="A11" s="5" t="s">
        <v>605</v>
      </c>
      <c r="B11" s="6" t="s">
        <v>609</v>
      </c>
      <c r="C11" s="21" t="n">
        <v>15.5</v>
      </c>
      <c r="D11" s="6" t="s">
        <v>35</v>
      </c>
      <c r="E11" s="6" t="s">
        <v>607</v>
      </c>
      <c r="F11" s="6" t="s">
        <v>610</v>
      </c>
    </row>
    <row r="12" customFormat="false" ht="23.85" hidden="false" customHeight="false" outlineLevel="0" collapsed="false">
      <c r="A12" s="5" t="s">
        <v>605</v>
      </c>
      <c r="B12" s="6" t="s">
        <v>611</v>
      </c>
      <c r="C12" s="21" t="n">
        <v>63.2</v>
      </c>
      <c r="D12" s="6" t="s">
        <v>35</v>
      </c>
      <c r="E12" s="6" t="s">
        <v>607</v>
      </c>
      <c r="F12" s="6" t="s">
        <v>612</v>
      </c>
    </row>
    <row r="14" customFormat="false" ht="15" hidden="false" customHeight="false" outlineLevel="0" collapsed="false">
      <c r="A14" s="3" t="s">
        <v>613</v>
      </c>
    </row>
    <row r="15" customFormat="false" ht="15" hidden="false" customHeight="false" outlineLevel="0" collapsed="false">
      <c r="A15" s="4"/>
      <c r="B15" s="4" t="s">
        <v>590</v>
      </c>
      <c r="C15" s="4" t="s">
        <v>81</v>
      </c>
      <c r="D15" s="4" t="s">
        <v>614</v>
      </c>
      <c r="E15" s="4"/>
      <c r="F15" s="4" t="s">
        <v>84</v>
      </c>
    </row>
    <row r="16" customFormat="false" ht="15" hidden="false" customHeight="false" outlineLevel="0" collapsed="false">
      <c r="B16" s="6" t="s">
        <v>615</v>
      </c>
      <c r="C16" s="19" t="n">
        <f aca="false">100/C12-1</f>
        <v>0.582278481012658</v>
      </c>
      <c r="D16" s="6" t="s">
        <v>616</v>
      </c>
      <c r="F16" s="6" t="s">
        <v>617</v>
      </c>
    </row>
    <row r="17" customFormat="false" ht="15" hidden="false" customHeight="false" outlineLevel="0" collapsed="false">
      <c r="B17" s="6" t="s">
        <v>618</v>
      </c>
      <c r="C17" s="19" t="n">
        <f aca="false">100/C11-1-C16</f>
        <v>4.86933442221315</v>
      </c>
      <c r="D17" s="6" t="s">
        <v>619</v>
      </c>
      <c r="F17" s="6"/>
    </row>
    <row r="18" customFormat="false" ht="15" hidden="false" customHeight="false" outlineLevel="0" collapsed="false">
      <c r="B18" s="6" t="s">
        <v>620</v>
      </c>
      <c r="C18" s="19" t="n">
        <f aca="false">100/(C17+C16+2)</f>
        <v>13.4199134199134</v>
      </c>
      <c r="D18" s="6" t="s">
        <v>621</v>
      </c>
      <c r="F18" s="6" t="s">
        <v>622</v>
      </c>
    </row>
    <row r="19" customFormat="false" ht="15" hidden="false" customHeight="false" outlineLevel="0" collapsed="false">
      <c r="B19" s="6" t="s">
        <v>623</v>
      </c>
      <c r="C19" s="19" t="n">
        <f aca="false">C16/(C16+C17)</f>
        <v>0.106808478765636</v>
      </c>
      <c r="D19" s="6" t="s">
        <v>624</v>
      </c>
      <c r="F19" s="6" t="s">
        <v>625</v>
      </c>
    </row>
    <row r="20" customFormat="false" ht="15" hidden="false" customHeight="false" outlineLevel="0" collapsed="false">
      <c r="B20" s="6" t="s">
        <v>626</v>
      </c>
      <c r="C20" s="19" t="n">
        <f aca="false">1/(C16+C17)</f>
        <v>0.183431952662722</v>
      </c>
      <c r="D20" s="6" t="s">
        <v>627</v>
      </c>
      <c r="F20" s="6"/>
    </row>
    <row r="22" customFormat="false" ht="15" hidden="false" customHeight="false" outlineLevel="0" collapsed="false">
      <c r="A22" s="2" t="s">
        <v>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6" min="3" style="0" width="12"/>
    <col collapsed="false" customWidth="true" hidden="false" outlineLevel="0" max="7" min="7" style="0" width="16"/>
    <col collapsed="false" customWidth="true" hidden="false" outlineLevel="0" max="8" min="8" style="0" width="60"/>
  </cols>
  <sheetData>
    <row r="1" customFormat="false" ht="17.35" hidden="false" customHeight="false" outlineLevel="0" collapsed="false">
      <c r="A1" s="1" t="s">
        <v>629</v>
      </c>
    </row>
    <row r="2" customFormat="false" ht="15" hidden="false" customHeight="false" outlineLevel="0" collapsed="false">
      <c r="A2" s="2" t="s">
        <v>630</v>
      </c>
    </row>
    <row r="4" customFormat="false" ht="23.85" hidden="false" customHeight="false" outlineLevel="0" collapsed="false">
      <c r="A4" s="4" t="s">
        <v>631</v>
      </c>
      <c r="B4" s="4" t="s">
        <v>632</v>
      </c>
      <c r="C4" s="4" t="s">
        <v>463</v>
      </c>
      <c r="D4" s="4" t="s">
        <v>469</v>
      </c>
      <c r="E4" s="4" t="s">
        <v>633</v>
      </c>
      <c r="F4" s="4" t="s">
        <v>634</v>
      </c>
      <c r="G4" s="4" t="s">
        <v>635</v>
      </c>
      <c r="H4" s="4" t="s">
        <v>84</v>
      </c>
    </row>
    <row r="5" customFormat="false" ht="15" hidden="false" customHeight="false" outlineLevel="0" collapsed="false">
      <c r="A5" s="5" t="s">
        <v>636</v>
      </c>
      <c r="B5" s="31" t="n">
        <v>100</v>
      </c>
      <c r="C5" s="32" t="n">
        <v>3300</v>
      </c>
      <c r="D5" s="32" t="n">
        <v>26200</v>
      </c>
      <c r="E5" s="32" t="n">
        <v>25200</v>
      </c>
      <c r="F5" s="32" t="n">
        <v>25200</v>
      </c>
      <c r="G5" s="6" t="s">
        <v>637</v>
      </c>
      <c r="H5" s="6" t="s">
        <v>638</v>
      </c>
    </row>
    <row r="6" customFormat="false" ht="15" hidden="false" customHeight="false" outlineLevel="0" collapsed="false">
      <c r="A6" s="5" t="s">
        <v>639</v>
      </c>
      <c r="B6" s="31" t="n">
        <v>100</v>
      </c>
      <c r="C6" s="32" t="n">
        <v>8800</v>
      </c>
      <c r="D6" s="32" t="n">
        <v>13000</v>
      </c>
      <c r="E6" s="32" t="n">
        <v>13500</v>
      </c>
      <c r="F6" s="32" t="n">
        <v>17000</v>
      </c>
      <c r="G6" s="6" t="s">
        <v>637</v>
      </c>
      <c r="H6" s="6" t="s">
        <v>640</v>
      </c>
    </row>
    <row r="7" customFormat="false" ht="15" hidden="false" customHeight="false" outlineLevel="0" collapsed="false">
      <c r="A7" s="5" t="s">
        <v>641</v>
      </c>
      <c r="B7" s="31" t="n">
        <v>100</v>
      </c>
      <c r="C7" s="32" t="n">
        <v>2300</v>
      </c>
      <c r="D7" s="32" t="n">
        <v>13800</v>
      </c>
      <c r="E7" s="32" t="n">
        <v>14600</v>
      </c>
      <c r="F7" s="32" t="n">
        <v>15700</v>
      </c>
      <c r="G7" s="6" t="s">
        <v>289</v>
      </c>
      <c r="H7" s="6" t="s">
        <v>642</v>
      </c>
    </row>
    <row r="8" customFormat="false" ht="15" hidden="false" customHeight="false" outlineLevel="0" collapsed="false">
      <c r="A8" s="5" t="s">
        <v>643</v>
      </c>
      <c r="B8" s="31" t="n">
        <v>100</v>
      </c>
      <c r="C8" s="32" t="n">
        <v>2000</v>
      </c>
      <c r="D8" s="32" t="n">
        <v>14900</v>
      </c>
      <c r="E8" s="32" t="n">
        <v>16300</v>
      </c>
      <c r="F8" s="32" t="n">
        <v>19400</v>
      </c>
      <c r="G8" s="6" t="s">
        <v>289</v>
      </c>
      <c r="H8" s="6" t="s">
        <v>644</v>
      </c>
    </row>
    <row r="9" customFormat="false" ht="23.85" hidden="false" customHeight="false" outlineLevel="0" collapsed="false">
      <c r="A9" s="5" t="s">
        <v>645</v>
      </c>
      <c r="B9" s="31" t="n">
        <v>100</v>
      </c>
      <c r="C9" s="32" t="n">
        <v>10</v>
      </c>
      <c r="D9" s="32" t="n">
        <v>100</v>
      </c>
      <c r="E9" s="32" t="n">
        <v>23</v>
      </c>
      <c r="F9" s="32" t="n">
        <v>110</v>
      </c>
      <c r="G9" s="6" t="s">
        <v>289</v>
      </c>
      <c r="H9" s="6" t="s">
        <v>646</v>
      </c>
    </row>
    <row r="10" customFormat="false" ht="23.85" hidden="false" customHeight="false" outlineLevel="0" collapsed="false">
      <c r="A10" s="5" t="s">
        <v>647</v>
      </c>
      <c r="B10" s="31" t="n">
        <v>100</v>
      </c>
      <c r="C10" s="32" t="n">
        <v>100</v>
      </c>
      <c r="D10" s="32" t="n">
        <v>119</v>
      </c>
      <c r="E10" s="32" t="n">
        <v>124</v>
      </c>
      <c r="F10" s="32" t="n">
        <v>124</v>
      </c>
      <c r="G10" s="6" t="s">
        <v>648</v>
      </c>
      <c r="H10" s="6" t="s">
        <v>649</v>
      </c>
    </row>
    <row r="11" customFormat="false" ht="15" hidden="false" customHeight="false" outlineLevel="0" collapsed="false">
      <c r="A11" s="5" t="s">
        <v>650</v>
      </c>
      <c r="B11" s="31" t="n">
        <v>100</v>
      </c>
      <c r="C11" s="32" t="n">
        <v>105</v>
      </c>
      <c r="D11" s="32" t="n">
        <v>137</v>
      </c>
      <c r="E11" s="32" t="n">
        <v>137</v>
      </c>
      <c r="F11" s="32" t="n">
        <v>138</v>
      </c>
      <c r="G11" s="6" t="s">
        <v>648</v>
      </c>
      <c r="H11" s="6" t="s">
        <v>651</v>
      </c>
    </row>
    <row r="12" customFormat="false" ht="15" hidden="false" customHeight="false" outlineLevel="0" collapsed="false">
      <c r="A12" s="5" t="s">
        <v>652</v>
      </c>
      <c r="B12" s="31" t="n">
        <v>100</v>
      </c>
      <c r="C12" s="32" t="n">
        <v>97</v>
      </c>
      <c r="D12" s="32" t="n">
        <v>138</v>
      </c>
      <c r="E12" s="32" t="n">
        <v>138</v>
      </c>
      <c r="F12" s="32" t="n">
        <v>143</v>
      </c>
      <c r="G12" s="6" t="s">
        <v>648</v>
      </c>
      <c r="H12" s="6" t="s">
        <v>653</v>
      </c>
    </row>
    <row r="13" customFormat="false" ht="15" hidden="false" customHeight="false" outlineLevel="0" collapsed="false">
      <c r="A13" s="5" t="s">
        <v>569</v>
      </c>
      <c r="B13" s="31" t="n">
        <v>100</v>
      </c>
      <c r="C13" s="32" t="n">
        <v>100</v>
      </c>
      <c r="D13" s="32" t="n">
        <v>110</v>
      </c>
      <c r="E13" s="32" t="n">
        <v>112</v>
      </c>
      <c r="F13" s="32" t="n">
        <v>115</v>
      </c>
      <c r="G13" s="6" t="s">
        <v>648</v>
      </c>
      <c r="H13" s="6" t="s">
        <v>654</v>
      </c>
    </row>
    <row r="14" customFormat="false" ht="15" hidden="false" customHeight="false" outlineLevel="0" collapsed="false">
      <c r="A14" s="5" t="s">
        <v>655</v>
      </c>
      <c r="B14" s="31" t="n">
        <v>100</v>
      </c>
      <c r="C14" s="32" t="n">
        <v>100</v>
      </c>
      <c r="D14" s="32" t="n">
        <v>104</v>
      </c>
      <c r="E14" s="32" t="n">
        <v>104</v>
      </c>
      <c r="F14" s="32" t="n">
        <v>104</v>
      </c>
      <c r="G14" s="6" t="s">
        <v>648</v>
      </c>
      <c r="H14" s="6" t="s">
        <v>656</v>
      </c>
    </row>
    <row r="15" customFormat="false" ht="15" hidden="false" customHeight="false" outlineLevel="0" collapsed="false">
      <c r="A15" s="5" t="s">
        <v>657</v>
      </c>
      <c r="B15" s="31" t="n">
        <v>100</v>
      </c>
      <c r="C15" s="32" t="n">
        <v>100</v>
      </c>
      <c r="D15" s="32" t="n">
        <v>102</v>
      </c>
      <c r="E15" s="32" t="n">
        <v>102</v>
      </c>
      <c r="F15" s="32" t="n">
        <v>104</v>
      </c>
      <c r="G15" s="6" t="s">
        <v>648</v>
      </c>
      <c r="H15" s="6" t="s">
        <v>658</v>
      </c>
    </row>
    <row r="17" customFormat="false" ht="15" hidden="false" customHeight="false" outlineLevel="0" collapsed="false">
      <c r="A17" s="2" t="s">
        <v>659</v>
      </c>
    </row>
    <row r="18" customFormat="false" ht="15" hidden="false" customHeight="false" outlineLevel="0" collapsed="false">
      <c r="A18" s="2" t="s">
        <v>660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2"/>
    <col collapsed="false" customWidth="true" hidden="false" outlineLevel="0" max="3" min="3" style="0" width="20"/>
    <col collapsed="false" customWidth="true" hidden="false" outlineLevel="0" max="6" min="4" style="0" width="13"/>
    <col collapsed="false" customWidth="true" hidden="false" outlineLevel="0" max="7" min="7" style="0" width="18"/>
    <col collapsed="false" customWidth="true" hidden="false" outlineLevel="0" max="8" min="8" style="0" width="26"/>
    <col collapsed="false" customWidth="true" hidden="false" outlineLevel="0" max="9" min="9" style="0" width="50"/>
  </cols>
  <sheetData>
    <row r="1" customFormat="false" ht="17.35" hidden="false" customHeight="false" outlineLevel="0" collapsed="false">
      <c r="A1" s="1" t="s">
        <v>661</v>
      </c>
    </row>
    <row r="2" customFormat="false" ht="15" hidden="false" customHeight="false" outlineLevel="0" collapsed="false">
      <c r="A2" s="2" t="s">
        <v>662</v>
      </c>
    </row>
    <row r="4" customFormat="false" ht="15" hidden="false" customHeight="false" outlineLevel="0" collapsed="false">
      <c r="A4" s="4" t="s">
        <v>663</v>
      </c>
      <c r="B4" s="4" t="s">
        <v>343</v>
      </c>
      <c r="C4" s="4" t="s">
        <v>664</v>
      </c>
      <c r="D4" s="4" t="s">
        <v>665</v>
      </c>
      <c r="E4" s="4" t="s">
        <v>666</v>
      </c>
      <c r="F4" s="4" t="s">
        <v>667</v>
      </c>
      <c r="G4" s="4" t="s">
        <v>668</v>
      </c>
      <c r="H4" s="4" t="s">
        <v>593</v>
      </c>
      <c r="I4" s="4" t="s">
        <v>669</v>
      </c>
    </row>
    <row r="5" customFormat="false" ht="15" hidden="false" customHeight="false" outlineLevel="0" collapsed="false">
      <c r="A5" s="5" t="s">
        <v>670</v>
      </c>
      <c r="B5" s="6" t="s">
        <v>671</v>
      </c>
      <c r="C5" s="6" t="s">
        <v>671</v>
      </c>
      <c r="D5" s="32" t="n">
        <v>57500</v>
      </c>
      <c r="E5" s="32" t="n">
        <v>49700</v>
      </c>
      <c r="F5" s="32" t="n">
        <v>48400</v>
      </c>
      <c r="G5" s="6" t="s">
        <v>672</v>
      </c>
      <c r="H5" s="6" t="s">
        <v>673</v>
      </c>
      <c r="I5" s="6"/>
    </row>
    <row r="6" customFormat="false" ht="15" hidden="false" customHeight="false" outlineLevel="0" collapsed="false">
      <c r="A6" s="5" t="s">
        <v>670</v>
      </c>
      <c r="B6" s="6" t="s">
        <v>671</v>
      </c>
      <c r="C6" s="6" t="s">
        <v>674</v>
      </c>
      <c r="D6" s="32" t="n">
        <v>59900</v>
      </c>
      <c r="E6" s="32" t="n">
        <v>60000</v>
      </c>
      <c r="F6" s="32" t="n">
        <v>60200</v>
      </c>
      <c r="G6" s="6" t="s">
        <v>672</v>
      </c>
      <c r="H6" s="6" t="s">
        <v>673</v>
      </c>
      <c r="I6" s="6"/>
    </row>
    <row r="7" customFormat="false" ht="15" hidden="false" customHeight="false" outlineLevel="0" collapsed="false">
      <c r="A7" s="5" t="s">
        <v>670</v>
      </c>
      <c r="B7" s="6" t="s">
        <v>671</v>
      </c>
      <c r="C7" s="6" t="s">
        <v>675</v>
      </c>
      <c r="D7" s="32" t="n">
        <v>60100</v>
      </c>
      <c r="E7" s="32" t="n">
        <v>60200</v>
      </c>
      <c r="F7" s="32" t="n">
        <v>60400</v>
      </c>
      <c r="G7" s="6" t="s">
        <v>672</v>
      </c>
      <c r="H7" s="6" t="s">
        <v>673</v>
      </c>
      <c r="I7" s="6"/>
    </row>
    <row r="8" customFormat="false" ht="15" hidden="false" customHeight="false" outlineLevel="0" collapsed="false">
      <c r="A8" s="5" t="s">
        <v>670</v>
      </c>
      <c r="B8" s="6" t="s">
        <v>674</v>
      </c>
      <c r="C8" s="6" t="s">
        <v>671</v>
      </c>
      <c r="D8" s="32" t="n">
        <v>57600</v>
      </c>
      <c r="E8" s="32" t="n">
        <v>48700</v>
      </c>
      <c r="F8" s="32" t="n">
        <v>48100</v>
      </c>
      <c r="G8" s="6" t="s">
        <v>672</v>
      </c>
      <c r="H8" s="6" t="s">
        <v>673</v>
      </c>
      <c r="I8" s="6"/>
    </row>
    <row r="9" customFormat="false" ht="15" hidden="false" customHeight="false" outlineLevel="0" collapsed="false">
      <c r="A9" s="5" t="s">
        <v>670</v>
      </c>
      <c r="B9" s="6" t="s">
        <v>674</v>
      </c>
      <c r="C9" s="6" t="s">
        <v>674</v>
      </c>
      <c r="D9" s="32" t="n">
        <v>59900</v>
      </c>
      <c r="E9" s="32" t="n">
        <v>60000</v>
      </c>
      <c r="F9" s="32" t="n">
        <v>60200</v>
      </c>
      <c r="G9" s="6" t="s">
        <v>672</v>
      </c>
      <c r="H9" s="6" t="s">
        <v>673</v>
      </c>
      <c r="I9" s="6"/>
    </row>
    <row r="10" customFormat="false" ht="15" hidden="false" customHeight="false" outlineLevel="0" collapsed="false">
      <c r="A10" s="5" t="s">
        <v>670</v>
      </c>
      <c r="B10" s="6" t="s">
        <v>674</v>
      </c>
      <c r="C10" s="6" t="s">
        <v>675</v>
      </c>
      <c r="D10" s="32" t="n">
        <v>60000</v>
      </c>
      <c r="E10" s="32" t="n">
        <v>60200</v>
      </c>
      <c r="F10" s="32" t="n">
        <v>60400</v>
      </c>
      <c r="G10" s="6" t="s">
        <v>672</v>
      </c>
      <c r="H10" s="6" t="s">
        <v>673</v>
      </c>
      <c r="I10" s="6"/>
    </row>
    <row r="11" customFormat="false" ht="15" hidden="false" customHeight="false" outlineLevel="0" collapsed="false">
      <c r="A11" s="5" t="s">
        <v>670</v>
      </c>
      <c r="B11" s="6" t="s">
        <v>675</v>
      </c>
      <c r="C11" s="6" t="s">
        <v>671</v>
      </c>
      <c r="D11" s="32" t="n">
        <v>60000</v>
      </c>
      <c r="E11" s="32" t="n">
        <v>59600</v>
      </c>
      <c r="F11" s="32" t="n">
        <v>59900</v>
      </c>
      <c r="G11" s="6" t="s">
        <v>672</v>
      </c>
      <c r="H11" s="6" t="s">
        <v>673</v>
      </c>
      <c r="I11" s="6"/>
    </row>
    <row r="12" customFormat="false" ht="15" hidden="false" customHeight="false" outlineLevel="0" collapsed="false">
      <c r="A12" s="5" t="s">
        <v>670</v>
      </c>
      <c r="B12" s="6" t="s">
        <v>675</v>
      </c>
      <c r="C12" s="6" t="s">
        <v>674</v>
      </c>
      <c r="D12" s="32" t="n">
        <v>60100</v>
      </c>
      <c r="E12" s="32" t="n">
        <v>60100</v>
      </c>
      <c r="F12" s="32" t="n">
        <v>60400</v>
      </c>
      <c r="G12" s="6" t="s">
        <v>672</v>
      </c>
      <c r="H12" s="6" t="s">
        <v>673</v>
      </c>
      <c r="I12" s="6"/>
    </row>
    <row r="13" customFormat="false" ht="15" hidden="false" customHeight="false" outlineLevel="0" collapsed="false">
      <c r="A13" s="5" t="s">
        <v>670</v>
      </c>
      <c r="B13" s="6" t="s">
        <v>675</v>
      </c>
      <c r="C13" s="6" t="s">
        <v>675</v>
      </c>
      <c r="D13" s="32" t="n">
        <v>60000</v>
      </c>
      <c r="E13" s="32" t="n">
        <v>60200</v>
      </c>
      <c r="F13" s="32" t="n">
        <v>60400</v>
      </c>
      <c r="G13" s="6" t="s">
        <v>672</v>
      </c>
      <c r="H13" s="6" t="s">
        <v>673</v>
      </c>
      <c r="I13" s="6"/>
    </row>
    <row r="14" customFormat="false" ht="23.85" hidden="false" customHeight="false" outlineLevel="0" collapsed="false">
      <c r="A14" s="5" t="s">
        <v>676</v>
      </c>
      <c r="B14" s="6" t="s">
        <v>671</v>
      </c>
      <c r="C14" s="6" t="s">
        <v>671</v>
      </c>
      <c r="D14" s="32" t="n">
        <v>368</v>
      </c>
      <c r="E14" s="32" t="n">
        <v>390</v>
      </c>
      <c r="F14" s="32" t="n">
        <v>398</v>
      </c>
      <c r="G14" s="6" t="s">
        <v>677</v>
      </c>
      <c r="H14" s="6" t="s">
        <v>678</v>
      </c>
      <c r="I14" s="6"/>
    </row>
    <row r="15" customFormat="false" ht="23.85" hidden="false" customHeight="false" outlineLevel="0" collapsed="false">
      <c r="A15" s="5" t="s">
        <v>676</v>
      </c>
      <c r="B15" s="6" t="s">
        <v>671</v>
      </c>
      <c r="C15" s="6" t="s">
        <v>674</v>
      </c>
      <c r="D15" s="32" t="n">
        <v>398</v>
      </c>
      <c r="E15" s="32" t="n">
        <v>399</v>
      </c>
      <c r="F15" s="32" t="n">
        <v>400</v>
      </c>
      <c r="G15" s="6" t="s">
        <v>677</v>
      </c>
      <c r="H15" s="6" t="s">
        <v>678</v>
      </c>
      <c r="I15" s="6"/>
    </row>
    <row r="16" customFormat="false" ht="23.85" hidden="false" customHeight="false" outlineLevel="0" collapsed="false">
      <c r="A16" s="5" t="s">
        <v>676</v>
      </c>
      <c r="B16" s="6" t="s">
        <v>671</v>
      </c>
      <c r="C16" s="6" t="s">
        <v>675</v>
      </c>
      <c r="D16" s="32" t="n">
        <v>400</v>
      </c>
      <c r="E16" s="32" t="n">
        <v>399</v>
      </c>
      <c r="F16" s="32" t="n">
        <v>400</v>
      </c>
      <c r="G16" s="6" t="s">
        <v>677</v>
      </c>
      <c r="H16" s="6" t="s">
        <v>678</v>
      </c>
      <c r="I16" s="6"/>
    </row>
    <row r="17" customFormat="false" ht="23.85" hidden="false" customHeight="false" outlineLevel="0" collapsed="false">
      <c r="A17" s="5" t="s">
        <v>676</v>
      </c>
      <c r="B17" s="6" t="s">
        <v>674</v>
      </c>
      <c r="C17" s="6" t="s">
        <v>671</v>
      </c>
      <c r="D17" s="32" t="n">
        <v>374</v>
      </c>
      <c r="E17" s="32" t="n">
        <v>397</v>
      </c>
      <c r="F17" s="32" t="n">
        <v>400</v>
      </c>
      <c r="G17" s="6" t="s">
        <v>677</v>
      </c>
      <c r="H17" s="6" t="s">
        <v>678</v>
      </c>
      <c r="I17" s="6"/>
    </row>
    <row r="18" customFormat="false" ht="23.85" hidden="false" customHeight="false" outlineLevel="0" collapsed="false">
      <c r="A18" s="5" t="s">
        <v>676</v>
      </c>
      <c r="B18" s="6" t="s">
        <v>674</v>
      </c>
      <c r="C18" s="6" t="s">
        <v>674</v>
      </c>
      <c r="D18" s="32" t="n">
        <v>397</v>
      </c>
      <c r="E18" s="32" t="n">
        <v>400</v>
      </c>
      <c r="F18" s="32" t="n">
        <v>400</v>
      </c>
      <c r="G18" s="6" t="s">
        <v>677</v>
      </c>
      <c r="H18" s="6" t="s">
        <v>678</v>
      </c>
      <c r="I18" s="6"/>
    </row>
    <row r="19" customFormat="false" ht="23.85" hidden="false" customHeight="false" outlineLevel="0" collapsed="false">
      <c r="A19" s="5" t="s">
        <v>676</v>
      </c>
      <c r="B19" s="6" t="s">
        <v>674</v>
      </c>
      <c r="C19" s="6" t="s">
        <v>675</v>
      </c>
      <c r="D19" s="32" t="n">
        <v>400</v>
      </c>
      <c r="E19" s="32" t="n">
        <v>400</v>
      </c>
      <c r="F19" s="32" t="n">
        <v>400</v>
      </c>
      <c r="G19" s="6" t="s">
        <v>677</v>
      </c>
      <c r="H19" s="6" t="s">
        <v>678</v>
      </c>
      <c r="I19" s="6"/>
    </row>
    <row r="20" customFormat="false" ht="23.85" hidden="false" customHeight="false" outlineLevel="0" collapsed="false">
      <c r="A20" s="5" t="s">
        <v>676</v>
      </c>
      <c r="B20" s="6" t="s">
        <v>675</v>
      </c>
      <c r="C20" s="6" t="s">
        <v>671</v>
      </c>
      <c r="D20" s="32" t="n">
        <v>399</v>
      </c>
      <c r="E20" s="32" t="n">
        <v>400</v>
      </c>
      <c r="F20" s="32" t="n">
        <v>400</v>
      </c>
      <c r="G20" s="6" t="s">
        <v>677</v>
      </c>
      <c r="H20" s="6" t="s">
        <v>678</v>
      </c>
      <c r="I20" s="6"/>
    </row>
    <row r="21" customFormat="false" ht="23.85" hidden="false" customHeight="false" outlineLevel="0" collapsed="false">
      <c r="A21" s="5" t="s">
        <v>676</v>
      </c>
      <c r="B21" s="6" t="s">
        <v>675</v>
      </c>
      <c r="C21" s="6" t="s">
        <v>674</v>
      </c>
      <c r="D21" s="32" t="n">
        <v>400</v>
      </c>
      <c r="E21" s="32" t="n">
        <v>400</v>
      </c>
      <c r="F21" s="32" t="n">
        <v>400</v>
      </c>
      <c r="G21" s="6" t="s">
        <v>677</v>
      </c>
      <c r="H21" s="6" t="s">
        <v>678</v>
      </c>
      <c r="I21" s="6"/>
    </row>
    <row r="22" customFormat="false" ht="23.85" hidden="false" customHeight="false" outlineLevel="0" collapsed="false">
      <c r="A22" s="5" t="s">
        <v>676</v>
      </c>
      <c r="B22" s="6" t="s">
        <v>675</v>
      </c>
      <c r="C22" s="6" t="s">
        <v>675</v>
      </c>
      <c r="D22" s="32" t="n">
        <v>400</v>
      </c>
      <c r="E22" s="32" t="n">
        <v>400</v>
      </c>
      <c r="F22" s="32" t="n">
        <v>400</v>
      </c>
      <c r="G22" s="6" t="s">
        <v>677</v>
      </c>
      <c r="H22" s="6" t="s">
        <v>678</v>
      </c>
      <c r="I22" s="6"/>
    </row>
    <row r="23" customFormat="false" ht="15" hidden="false" customHeight="false" outlineLevel="0" collapsed="false">
      <c r="A23" s="5" t="s">
        <v>679</v>
      </c>
      <c r="B23" s="6" t="s">
        <v>671</v>
      </c>
      <c r="C23" s="6" t="s">
        <v>671</v>
      </c>
      <c r="D23" s="32" t="n">
        <v>19800</v>
      </c>
      <c r="E23" s="32" t="n">
        <v>21900</v>
      </c>
      <c r="F23" s="32" t="n">
        <v>22400</v>
      </c>
      <c r="G23" s="6" t="s">
        <v>680</v>
      </c>
      <c r="H23" s="6" t="s">
        <v>681</v>
      </c>
      <c r="I23" s="6"/>
    </row>
    <row r="24" customFormat="false" ht="15" hidden="false" customHeight="false" outlineLevel="0" collapsed="false">
      <c r="A24" s="5" t="s">
        <v>679</v>
      </c>
      <c r="B24" s="6" t="s">
        <v>671</v>
      </c>
      <c r="C24" s="6" t="s">
        <v>674</v>
      </c>
      <c r="D24" s="32" t="n">
        <v>19600</v>
      </c>
      <c r="E24" s="32" t="n">
        <v>19800</v>
      </c>
      <c r="F24" s="32" t="n">
        <v>19800</v>
      </c>
      <c r="G24" s="6" t="s">
        <v>680</v>
      </c>
      <c r="H24" s="6" t="s">
        <v>681</v>
      </c>
      <c r="I24" s="6"/>
    </row>
    <row r="25" customFormat="false" ht="35.05" hidden="false" customHeight="false" outlineLevel="0" collapsed="false">
      <c r="A25" s="5" t="s">
        <v>679</v>
      </c>
      <c r="B25" s="6" t="s">
        <v>671</v>
      </c>
      <c r="C25" s="6" t="s">
        <v>675</v>
      </c>
      <c r="D25" s="32" t="n">
        <v>19800</v>
      </c>
      <c r="E25" s="33"/>
      <c r="F25" s="33"/>
      <c r="G25" s="6" t="s">
        <v>680</v>
      </c>
      <c r="H25" s="6" t="s">
        <v>681</v>
      </c>
      <c r="I25" s="6" t="s">
        <v>682</v>
      </c>
    </row>
    <row r="26" customFormat="false" ht="15" hidden="false" customHeight="false" outlineLevel="0" collapsed="false">
      <c r="A26" s="5" t="s">
        <v>679</v>
      </c>
      <c r="B26" s="6" t="s">
        <v>674</v>
      </c>
      <c r="C26" s="6" t="s">
        <v>671</v>
      </c>
      <c r="D26" s="32" t="n">
        <v>20700</v>
      </c>
      <c r="E26" s="32" t="n">
        <v>23000</v>
      </c>
      <c r="F26" s="32" t="n">
        <v>23100</v>
      </c>
      <c r="G26" s="6" t="s">
        <v>680</v>
      </c>
      <c r="H26" s="6" t="s">
        <v>681</v>
      </c>
      <c r="I26" s="6"/>
    </row>
    <row r="27" customFormat="false" ht="15" hidden="false" customHeight="false" outlineLevel="0" collapsed="false">
      <c r="A27" s="5" t="s">
        <v>679</v>
      </c>
      <c r="B27" s="6" t="s">
        <v>674</v>
      </c>
      <c r="C27" s="6" t="s">
        <v>674</v>
      </c>
      <c r="D27" s="32" t="n">
        <v>21600</v>
      </c>
      <c r="E27" s="32" t="n">
        <v>21800</v>
      </c>
      <c r="F27" s="32" t="n">
        <v>21600</v>
      </c>
      <c r="G27" s="6" t="s">
        <v>680</v>
      </c>
      <c r="H27" s="6" t="s">
        <v>681</v>
      </c>
      <c r="I27" s="6"/>
    </row>
    <row r="28" customFormat="false" ht="15" hidden="false" customHeight="false" outlineLevel="0" collapsed="false">
      <c r="A28" s="5" t="s">
        <v>679</v>
      </c>
      <c r="B28" s="6" t="s">
        <v>674</v>
      </c>
      <c r="C28" s="6" t="s">
        <v>675</v>
      </c>
      <c r="D28" s="32" t="n">
        <v>22100</v>
      </c>
      <c r="E28" s="32" t="n">
        <v>22200</v>
      </c>
      <c r="F28" s="32" t="n">
        <v>22100</v>
      </c>
      <c r="G28" s="6" t="s">
        <v>680</v>
      </c>
      <c r="H28" s="6" t="s">
        <v>681</v>
      </c>
      <c r="I28" s="6" t="s">
        <v>683</v>
      </c>
    </row>
    <row r="29" customFormat="false" ht="15" hidden="false" customHeight="false" outlineLevel="0" collapsed="false">
      <c r="A29" s="5" t="s">
        <v>679</v>
      </c>
      <c r="B29" s="6" t="s">
        <v>675</v>
      </c>
      <c r="C29" s="6" t="s">
        <v>671</v>
      </c>
      <c r="D29" s="32" t="n">
        <v>29700</v>
      </c>
      <c r="E29" s="32" t="n">
        <v>29800</v>
      </c>
      <c r="F29" s="32" t="n">
        <v>29700</v>
      </c>
      <c r="G29" s="6" t="s">
        <v>680</v>
      </c>
      <c r="H29" s="6" t="s">
        <v>681</v>
      </c>
      <c r="I29" s="6"/>
    </row>
    <row r="30" customFormat="false" ht="15" hidden="false" customHeight="false" outlineLevel="0" collapsed="false">
      <c r="A30" s="5" t="s">
        <v>679</v>
      </c>
      <c r="B30" s="6" t="s">
        <v>675</v>
      </c>
      <c r="C30" s="6" t="s">
        <v>674</v>
      </c>
      <c r="D30" s="32" t="n">
        <v>29700</v>
      </c>
      <c r="E30" s="32" t="n">
        <v>29900</v>
      </c>
      <c r="F30" s="32" t="n">
        <v>29800</v>
      </c>
      <c r="G30" s="6" t="s">
        <v>680</v>
      </c>
      <c r="H30" s="6" t="s">
        <v>681</v>
      </c>
      <c r="I30" s="6"/>
    </row>
    <row r="31" customFormat="false" ht="15" hidden="false" customHeight="false" outlineLevel="0" collapsed="false">
      <c r="A31" s="5" t="s">
        <v>679</v>
      </c>
      <c r="B31" s="6" t="s">
        <v>675</v>
      </c>
      <c r="C31" s="6" t="s">
        <v>675</v>
      </c>
      <c r="D31" s="32" t="n">
        <v>29900</v>
      </c>
      <c r="E31" s="32" t="n">
        <v>30000</v>
      </c>
      <c r="F31" s="32" t="n">
        <v>29900</v>
      </c>
      <c r="G31" s="6" t="s">
        <v>680</v>
      </c>
      <c r="H31" s="6" t="s">
        <v>681</v>
      </c>
      <c r="I31" s="6"/>
    </row>
    <row r="33" customFormat="false" ht="15" hidden="false" customHeight="false" outlineLevel="0" collapsed="false">
      <c r="A33" s="3" t="s">
        <v>684</v>
      </c>
    </row>
    <row r="34" customFormat="false" ht="15" hidden="false" customHeight="false" outlineLevel="0" collapsed="false">
      <c r="A34" s="4" t="s">
        <v>590</v>
      </c>
      <c r="B34" s="4" t="s">
        <v>81</v>
      </c>
      <c r="C34" s="4"/>
      <c r="D34" s="4"/>
      <c r="E34" s="4"/>
      <c r="F34" s="4"/>
      <c r="G34" s="4"/>
      <c r="H34" s="4"/>
      <c r="I34" s="4" t="s">
        <v>685</v>
      </c>
    </row>
    <row r="35" customFormat="false" ht="15" hidden="false" customHeight="false" outlineLevel="0" collapsed="false">
      <c r="A35" s="6" t="s">
        <v>686</v>
      </c>
      <c r="B35" s="10" t="n">
        <v>200</v>
      </c>
    </row>
    <row r="36" customFormat="false" ht="15" hidden="false" customHeight="false" outlineLevel="0" collapsed="false">
      <c r="A36" s="6" t="s">
        <v>687</v>
      </c>
      <c r="B36" s="10" t="n">
        <v>50.5</v>
      </c>
      <c r="I36" s="6" t="s">
        <v>688</v>
      </c>
    </row>
    <row r="37" customFormat="false" ht="15" hidden="false" customHeight="false" outlineLevel="0" collapsed="false">
      <c r="A37" s="6" t="s">
        <v>388</v>
      </c>
      <c r="B37" s="10" t="n">
        <v>400</v>
      </c>
    </row>
    <row r="38" customFormat="false" ht="15" hidden="false" customHeight="false" outlineLevel="0" collapsed="false">
      <c r="A38" s="6" t="s">
        <v>476</v>
      </c>
      <c r="B38" s="10" t="n">
        <v>200</v>
      </c>
    </row>
    <row r="39" customFormat="false" ht="15" hidden="false" customHeight="false" outlineLevel="0" collapsed="false">
      <c r="A39" s="6" t="s">
        <v>689</v>
      </c>
      <c r="B39" s="34" t="n">
        <f aca="false">B37*(B35-B36)</f>
        <v>59800</v>
      </c>
      <c r="I39" s="6" t="s">
        <v>690</v>
      </c>
    </row>
    <row r="40" customFormat="false" ht="15" hidden="false" customHeight="false" outlineLevel="0" collapsed="false">
      <c r="A40" s="6" t="s">
        <v>691</v>
      </c>
      <c r="B40" s="34" t="n">
        <f aca="false">B38*(B35-B36)</f>
        <v>29900</v>
      </c>
      <c r="I40" s="6" t="s">
        <v>692</v>
      </c>
    </row>
    <row r="41" customFormat="false" ht="15" hidden="false" customHeight="false" outlineLevel="0" collapsed="false">
      <c r="A41" s="6" t="s">
        <v>693</v>
      </c>
      <c r="B41" s="34" t="n">
        <f aca="false">B37</f>
        <v>400</v>
      </c>
    </row>
    <row r="43" customFormat="false" ht="15" hidden="false" customHeight="false" outlineLevel="0" collapsed="false">
      <c r="A43" s="2" t="s">
        <v>694</v>
      </c>
    </row>
    <row r="44" customFormat="false" ht="15" hidden="false" customHeight="false" outlineLevel="0" collapsed="false">
      <c r="A44" s="2" t="s">
        <v>695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3" min="3" style="0" width="10"/>
    <col collapsed="false" customWidth="true" hidden="false" outlineLevel="0" max="6" min="4" style="0" width="18"/>
    <col collapsed="false" customWidth="true" hidden="false" outlineLevel="0" max="7" min="7" style="0" width="50"/>
  </cols>
  <sheetData>
    <row r="1" customFormat="false" ht="17.35" hidden="false" customHeight="false" outlineLevel="0" collapsed="false">
      <c r="A1" s="1" t="s">
        <v>696</v>
      </c>
    </row>
    <row r="2" customFormat="false" ht="15" hidden="false" customHeight="false" outlineLevel="0" collapsed="false">
      <c r="A2" s="2" t="s">
        <v>697</v>
      </c>
    </row>
    <row r="4" customFormat="false" ht="35.05" hidden="false" customHeight="false" outlineLevel="0" collapsed="false">
      <c r="A4" s="4" t="s">
        <v>343</v>
      </c>
      <c r="B4" s="4" t="s">
        <v>664</v>
      </c>
      <c r="C4" s="4" t="s">
        <v>686</v>
      </c>
      <c r="D4" s="4" t="s">
        <v>698</v>
      </c>
      <c r="E4" s="4" t="s">
        <v>699</v>
      </c>
      <c r="F4" s="4" t="s">
        <v>700</v>
      </c>
      <c r="G4" s="4" t="s">
        <v>669</v>
      </c>
    </row>
    <row r="5" customFormat="false" ht="15" hidden="false" customHeight="false" outlineLevel="0" collapsed="false">
      <c r="A5" s="5" t="s">
        <v>671</v>
      </c>
      <c r="B5" s="6" t="s">
        <v>674</v>
      </c>
      <c r="C5" s="10" t="n">
        <v>100</v>
      </c>
      <c r="D5" s="35" t="n">
        <v>0.67</v>
      </c>
      <c r="E5" s="35" t="n">
        <v>1.09</v>
      </c>
      <c r="F5" s="20" t="n">
        <f aca="false">E5/D5</f>
        <v>1.62686567164179</v>
      </c>
      <c r="G5" s="6"/>
    </row>
    <row r="6" customFormat="false" ht="15" hidden="false" customHeight="false" outlineLevel="0" collapsed="false">
      <c r="A6" s="5" t="s">
        <v>671</v>
      </c>
      <c r="B6" s="6" t="s">
        <v>674</v>
      </c>
      <c r="C6" s="10" t="n">
        <v>200</v>
      </c>
      <c r="D6" s="35" t="n">
        <v>0.66</v>
      </c>
      <c r="E6" s="35" t="n">
        <v>1.29</v>
      </c>
      <c r="F6" s="20" t="n">
        <f aca="false">E6/D6</f>
        <v>1.95454545454545</v>
      </c>
      <c r="G6" s="6"/>
    </row>
    <row r="7" customFormat="false" ht="15" hidden="false" customHeight="false" outlineLevel="0" collapsed="false">
      <c r="A7" s="5" t="s">
        <v>671</v>
      </c>
      <c r="B7" s="6" t="s">
        <v>674</v>
      </c>
      <c r="C7" s="10" t="n">
        <v>400</v>
      </c>
      <c r="D7" s="35" t="n">
        <v>0.57</v>
      </c>
      <c r="E7" s="35" t="n">
        <v>1.12</v>
      </c>
      <c r="F7" s="20" t="n">
        <f aca="false">E7/D7</f>
        <v>1.96491228070175</v>
      </c>
      <c r="G7" s="6"/>
    </row>
    <row r="8" customFormat="false" ht="15" hidden="false" customHeight="false" outlineLevel="0" collapsed="false">
      <c r="A8" s="5" t="s">
        <v>671</v>
      </c>
      <c r="B8" s="6" t="s">
        <v>674</v>
      </c>
      <c r="C8" s="10" t="n">
        <v>800</v>
      </c>
      <c r="D8" s="35" t="n">
        <v>0.5</v>
      </c>
      <c r="E8" s="35" t="n">
        <v>1.01</v>
      </c>
      <c r="F8" s="20" t="n">
        <f aca="false">E8/D8</f>
        <v>2.02</v>
      </c>
      <c r="G8" s="6"/>
    </row>
    <row r="9" customFormat="false" ht="15" hidden="false" customHeight="false" outlineLevel="0" collapsed="false">
      <c r="A9" s="5" t="s">
        <v>674</v>
      </c>
      <c r="B9" s="6" t="s">
        <v>671</v>
      </c>
      <c r="C9" s="10" t="n">
        <v>100</v>
      </c>
      <c r="D9" s="35" t="n">
        <v>9.8</v>
      </c>
      <c r="E9" s="35" t="n">
        <v>9.8</v>
      </c>
      <c r="F9" s="20" t="n">
        <f aca="false">E9/D9</f>
        <v>1</v>
      </c>
      <c r="G9" s="6" t="s">
        <v>701</v>
      </c>
    </row>
    <row r="10" customFormat="false" ht="15" hidden="false" customHeight="false" outlineLevel="0" collapsed="false">
      <c r="A10" s="5" t="s">
        <v>674</v>
      </c>
      <c r="B10" s="6" t="s">
        <v>671</v>
      </c>
      <c r="C10" s="10" t="n">
        <v>200</v>
      </c>
      <c r="D10" s="35" t="n">
        <v>9</v>
      </c>
      <c r="E10" s="35" t="n">
        <v>11.2</v>
      </c>
      <c r="F10" s="20" t="n">
        <f aca="false">E10/D10</f>
        <v>1.24444444444444</v>
      </c>
      <c r="G10" s="6"/>
    </row>
    <row r="11" customFormat="false" ht="15" hidden="false" customHeight="false" outlineLevel="0" collapsed="false">
      <c r="A11" s="5" t="s">
        <v>674</v>
      </c>
      <c r="B11" s="6" t="s">
        <v>671</v>
      </c>
      <c r="C11" s="10" t="n">
        <v>400</v>
      </c>
      <c r="D11" s="35" t="n">
        <v>8.8</v>
      </c>
      <c r="E11" s="35" t="n">
        <v>10.6</v>
      </c>
      <c r="F11" s="20" t="n">
        <f aca="false">E11/D11</f>
        <v>1.20454545454545</v>
      </c>
      <c r="G11" s="6"/>
    </row>
    <row r="12" customFormat="false" ht="15" hidden="false" customHeight="false" outlineLevel="0" collapsed="false">
      <c r="A12" s="5" t="s">
        <v>674</v>
      </c>
      <c r="B12" s="6" t="s">
        <v>671</v>
      </c>
      <c r="C12" s="10" t="n">
        <v>800</v>
      </c>
      <c r="D12" s="35" t="n">
        <v>8.8</v>
      </c>
      <c r="E12" s="35" t="n">
        <v>9.8</v>
      </c>
      <c r="F12" s="20" t="n">
        <f aca="false">E12/D12</f>
        <v>1.11363636363636</v>
      </c>
      <c r="G12" s="6"/>
    </row>
    <row r="13" customFormat="false" ht="15" hidden="false" customHeight="false" outlineLevel="0" collapsed="false">
      <c r="A13" s="5" t="s">
        <v>674</v>
      </c>
      <c r="B13" s="6" t="s">
        <v>674</v>
      </c>
      <c r="C13" s="10" t="n">
        <v>100</v>
      </c>
      <c r="D13" s="35" t="n">
        <v>0.49</v>
      </c>
      <c r="E13" s="35" t="n">
        <v>1.78</v>
      </c>
      <c r="F13" s="20" t="n">
        <f aca="false">E13/D13</f>
        <v>3.63265306122449</v>
      </c>
      <c r="G13" s="6"/>
    </row>
    <row r="14" customFormat="false" ht="15" hidden="false" customHeight="false" outlineLevel="0" collapsed="false">
      <c r="A14" s="5" t="s">
        <v>674</v>
      </c>
      <c r="B14" s="6" t="s">
        <v>674</v>
      </c>
      <c r="C14" s="10" t="n">
        <v>200</v>
      </c>
      <c r="D14" s="35" t="n">
        <v>0.25</v>
      </c>
      <c r="E14" s="35" t="n">
        <v>1.22</v>
      </c>
      <c r="F14" s="20" t="n">
        <f aca="false">E14/D14</f>
        <v>4.88</v>
      </c>
      <c r="G14" s="6"/>
    </row>
    <row r="15" customFormat="false" ht="15" hidden="false" customHeight="false" outlineLevel="0" collapsed="false">
      <c r="A15" s="5" t="s">
        <v>674</v>
      </c>
      <c r="B15" s="6" t="s">
        <v>674</v>
      </c>
      <c r="C15" s="10" t="n">
        <v>400</v>
      </c>
      <c r="D15" s="35" t="n">
        <v>0.34</v>
      </c>
      <c r="E15" s="35" t="n">
        <v>1.04</v>
      </c>
      <c r="F15" s="20" t="n">
        <f aca="false">E15/D15</f>
        <v>3.05882352941176</v>
      </c>
      <c r="G15" s="6"/>
    </row>
    <row r="16" customFormat="false" ht="15" hidden="false" customHeight="false" outlineLevel="0" collapsed="false">
      <c r="A16" s="5" t="s">
        <v>674</v>
      </c>
      <c r="B16" s="6" t="s">
        <v>674</v>
      </c>
      <c r="C16" s="10" t="n">
        <v>800</v>
      </c>
      <c r="D16" s="35" t="n">
        <v>0.22</v>
      </c>
      <c r="E16" s="35" t="n">
        <v>1.19</v>
      </c>
      <c r="F16" s="20" t="n">
        <f aca="false">E16/D16</f>
        <v>5.40909090909091</v>
      </c>
      <c r="G16" s="6"/>
    </row>
    <row r="18" customFormat="false" ht="15" hidden="false" customHeight="false" outlineLevel="0" collapsed="false">
      <c r="A18" s="2" t="s">
        <v>702</v>
      </c>
    </row>
    <row r="19" customFormat="false" ht="15" hidden="false" customHeight="false" outlineLevel="0" collapsed="false">
      <c r="A19" s="2" t="s">
        <v>703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8"/>
    <col collapsed="false" customWidth="true" hidden="false" outlineLevel="0" max="3" min="3" style="0" width="70"/>
    <col collapsed="false" customWidth="true" hidden="false" outlineLevel="0" max="4" min="4" style="0" width="18"/>
    <col collapsed="false" customWidth="true" hidden="false" outlineLevel="0" max="5" min="5" style="0" width="22"/>
    <col collapsed="false" customWidth="true" hidden="false" outlineLevel="0" max="6" min="6" style="0" width="14"/>
    <col collapsed="false" customWidth="true" hidden="false" outlineLevel="0" max="7" min="7" style="0" width="30"/>
  </cols>
  <sheetData>
    <row r="1" customFormat="false" ht="17.35" hidden="false" customHeight="false" outlineLevel="0" collapsed="false">
      <c r="A1" s="1" t="s">
        <v>704</v>
      </c>
    </row>
    <row r="2" customFormat="false" ht="15" hidden="false" customHeight="false" outlineLevel="0" collapsed="false">
      <c r="A2" s="2" t="s">
        <v>705</v>
      </c>
    </row>
    <row r="4" customFormat="false" ht="23.85" hidden="false" customHeight="false" outlineLevel="0" collapsed="false">
      <c r="A4" s="4" t="s">
        <v>451</v>
      </c>
      <c r="B4" s="4" t="s">
        <v>706</v>
      </c>
      <c r="C4" s="4" t="s">
        <v>707</v>
      </c>
      <c r="D4" s="4" t="s">
        <v>708</v>
      </c>
      <c r="E4" s="4" t="s">
        <v>709</v>
      </c>
      <c r="F4" s="4" t="s">
        <v>83</v>
      </c>
      <c r="G4" s="4" t="s">
        <v>414</v>
      </c>
    </row>
    <row r="5" customFormat="false" ht="23.85" hidden="false" customHeight="false" outlineLevel="0" collapsed="false">
      <c r="A5" s="6" t="s">
        <v>710</v>
      </c>
      <c r="B5" s="5" t="n">
        <v>1</v>
      </c>
      <c r="C5" s="6" t="s">
        <v>711</v>
      </c>
      <c r="D5" s="6" t="s">
        <v>712</v>
      </c>
      <c r="E5" s="6" t="s">
        <v>713</v>
      </c>
      <c r="F5" s="6" t="s">
        <v>714</v>
      </c>
      <c r="G5" s="29"/>
    </row>
    <row r="6" customFormat="false" ht="23.85" hidden="false" customHeight="false" outlineLevel="0" collapsed="false">
      <c r="A6" s="6" t="s">
        <v>710</v>
      </c>
      <c r="B6" s="5" t="n">
        <v>2</v>
      </c>
      <c r="C6" s="6" t="s">
        <v>715</v>
      </c>
      <c r="D6" s="6" t="s">
        <v>716</v>
      </c>
      <c r="E6" s="6" t="s">
        <v>713</v>
      </c>
      <c r="F6" s="6" t="s">
        <v>502</v>
      </c>
      <c r="G6" s="29"/>
    </row>
    <row r="7" customFormat="false" ht="23.85" hidden="false" customHeight="false" outlineLevel="0" collapsed="false">
      <c r="A7" s="6" t="s">
        <v>710</v>
      </c>
      <c r="B7" s="5" t="n">
        <v>3</v>
      </c>
      <c r="C7" s="6" t="s">
        <v>717</v>
      </c>
      <c r="D7" s="6" t="s">
        <v>718</v>
      </c>
      <c r="E7" s="6" t="s">
        <v>713</v>
      </c>
      <c r="F7" s="6" t="s">
        <v>506</v>
      </c>
      <c r="G7" s="29"/>
    </row>
    <row r="8" customFormat="false" ht="23.85" hidden="false" customHeight="false" outlineLevel="0" collapsed="false">
      <c r="A8" s="6" t="s">
        <v>710</v>
      </c>
      <c r="B8" s="5" t="n">
        <v>4</v>
      </c>
      <c r="C8" s="6" t="s">
        <v>719</v>
      </c>
      <c r="D8" s="6" t="s">
        <v>720</v>
      </c>
      <c r="E8" s="6" t="s">
        <v>721</v>
      </c>
      <c r="F8" s="6" t="s">
        <v>722</v>
      </c>
      <c r="G8" s="29"/>
    </row>
    <row r="9" customFormat="false" ht="23.85" hidden="false" customHeight="false" outlineLevel="0" collapsed="false">
      <c r="A9" s="6" t="s">
        <v>710</v>
      </c>
      <c r="B9" s="5" t="n">
        <v>5</v>
      </c>
      <c r="C9" s="6" t="s">
        <v>723</v>
      </c>
      <c r="D9" s="6" t="s">
        <v>724</v>
      </c>
      <c r="E9" s="6" t="s">
        <v>713</v>
      </c>
      <c r="F9" s="6" t="s">
        <v>725</v>
      </c>
      <c r="G9" s="29"/>
    </row>
    <row r="10" customFormat="false" ht="23.85" hidden="false" customHeight="false" outlineLevel="0" collapsed="false">
      <c r="A10" s="6" t="s">
        <v>710</v>
      </c>
      <c r="B10" s="5" t="n">
        <v>6</v>
      </c>
      <c r="C10" s="6" t="s">
        <v>726</v>
      </c>
      <c r="D10" s="6" t="s">
        <v>727</v>
      </c>
      <c r="E10" s="6" t="s">
        <v>728</v>
      </c>
      <c r="F10" s="6" t="s">
        <v>729</v>
      </c>
      <c r="G10" s="29"/>
    </row>
    <row r="11" customFormat="false" ht="15" hidden="false" customHeight="false" outlineLevel="0" collapsed="false">
      <c r="A11" s="6" t="s">
        <v>710</v>
      </c>
      <c r="B11" s="5" t="n">
        <v>7</v>
      </c>
      <c r="C11" s="6" t="s">
        <v>730</v>
      </c>
      <c r="D11" s="6" t="s">
        <v>731</v>
      </c>
      <c r="E11" s="6" t="s">
        <v>728</v>
      </c>
      <c r="F11" s="6" t="s">
        <v>729</v>
      </c>
      <c r="G11" s="29"/>
    </row>
    <row r="12" customFormat="false" ht="23.85" hidden="false" customHeight="false" outlineLevel="0" collapsed="false">
      <c r="A12" s="6" t="s">
        <v>710</v>
      </c>
      <c r="B12" s="5" t="n">
        <v>8</v>
      </c>
      <c r="C12" s="6" t="s">
        <v>732</v>
      </c>
      <c r="D12" s="6" t="s">
        <v>733</v>
      </c>
      <c r="E12" s="6" t="s">
        <v>728</v>
      </c>
      <c r="F12" s="6" t="s">
        <v>729</v>
      </c>
      <c r="G12" s="29"/>
    </row>
    <row r="13" customFormat="false" ht="57.45" hidden="false" customHeight="false" outlineLevel="0" collapsed="false">
      <c r="A13" s="6" t="s">
        <v>240</v>
      </c>
      <c r="B13" s="5"/>
      <c r="C13" s="6" t="s">
        <v>734</v>
      </c>
      <c r="D13" s="6" t="s">
        <v>735</v>
      </c>
      <c r="E13" s="6" t="s">
        <v>736</v>
      </c>
      <c r="F13" s="6" t="s">
        <v>737</v>
      </c>
      <c r="G13" s="29"/>
    </row>
    <row r="14" customFormat="false" ht="46.25" hidden="false" customHeight="false" outlineLevel="0" collapsed="false">
      <c r="A14" s="6" t="s">
        <v>738</v>
      </c>
      <c r="B14" s="5"/>
      <c r="C14" s="6" t="s">
        <v>739</v>
      </c>
      <c r="D14" s="6" t="s">
        <v>735</v>
      </c>
      <c r="E14" s="6" t="s">
        <v>736</v>
      </c>
      <c r="F14" s="6" t="s">
        <v>740</v>
      </c>
      <c r="G14" s="29"/>
    </row>
    <row r="15" customFormat="false" ht="35.05" hidden="false" customHeight="false" outlineLevel="0" collapsed="false">
      <c r="A15" s="6" t="s">
        <v>738</v>
      </c>
      <c r="B15" s="5"/>
      <c r="C15" s="6" t="s">
        <v>741</v>
      </c>
      <c r="D15" s="6" t="s">
        <v>735</v>
      </c>
      <c r="E15" s="6" t="s">
        <v>742</v>
      </c>
      <c r="F15" s="6" t="s">
        <v>743</v>
      </c>
      <c r="G15" s="29"/>
    </row>
    <row r="16" customFormat="false" ht="46.25" hidden="false" customHeight="false" outlineLevel="0" collapsed="false">
      <c r="A16" s="6" t="s">
        <v>744</v>
      </c>
      <c r="B16" s="5"/>
      <c r="C16" s="6" t="s">
        <v>745</v>
      </c>
      <c r="D16" s="6" t="s">
        <v>735</v>
      </c>
      <c r="E16" s="6" t="s">
        <v>736</v>
      </c>
      <c r="F16" s="6" t="s">
        <v>737</v>
      </c>
      <c r="G16" s="29"/>
    </row>
    <row r="17" customFormat="false" ht="35.05" hidden="false" customHeight="false" outlineLevel="0" collapsed="false">
      <c r="A17" s="6" t="s">
        <v>746</v>
      </c>
      <c r="B17" s="5"/>
      <c r="C17" s="6" t="s">
        <v>747</v>
      </c>
      <c r="D17" s="6"/>
      <c r="E17" s="6" t="s">
        <v>748</v>
      </c>
      <c r="F17" s="6" t="s">
        <v>749</v>
      </c>
      <c r="G17" s="29"/>
    </row>
    <row r="18" customFormat="false" ht="35.05" hidden="false" customHeight="false" outlineLevel="0" collapsed="false">
      <c r="A18" s="6" t="s">
        <v>746</v>
      </c>
      <c r="B18" s="5"/>
      <c r="C18" s="6" t="s">
        <v>750</v>
      </c>
      <c r="D18" s="6"/>
      <c r="E18" s="6" t="s">
        <v>748</v>
      </c>
      <c r="F18" s="6" t="s">
        <v>749</v>
      </c>
      <c r="G18" s="29"/>
    </row>
    <row r="19" customFormat="false" ht="23.85" hidden="false" customHeight="false" outlineLevel="0" collapsed="false">
      <c r="A19" s="6" t="s">
        <v>746</v>
      </c>
      <c r="B19" s="5"/>
      <c r="C19" s="6" t="s">
        <v>751</v>
      </c>
      <c r="D19" s="6"/>
      <c r="E19" s="6" t="s">
        <v>748</v>
      </c>
      <c r="F19" s="6" t="s">
        <v>749</v>
      </c>
      <c r="G19" s="29"/>
    </row>
    <row r="20" customFormat="false" ht="23.85" hidden="false" customHeight="false" outlineLevel="0" collapsed="false">
      <c r="A20" s="6" t="s">
        <v>752</v>
      </c>
      <c r="B20" s="5"/>
      <c r="C20" s="6" t="s">
        <v>753</v>
      </c>
      <c r="D20" s="6" t="s">
        <v>712</v>
      </c>
      <c r="E20" s="6" t="s">
        <v>748</v>
      </c>
      <c r="F20" s="6" t="s">
        <v>754</v>
      </c>
      <c r="G20" s="29"/>
    </row>
    <row r="21" customFormat="false" ht="23.85" hidden="false" customHeight="false" outlineLevel="0" collapsed="false">
      <c r="A21" s="6" t="s">
        <v>752</v>
      </c>
      <c r="B21" s="5"/>
      <c r="C21" s="6" t="s">
        <v>755</v>
      </c>
      <c r="D21" s="6"/>
      <c r="E21" s="6" t="s">
        <v>748</v>
      </c>
      <c r="F21" s="6" t="s">
        <v>756</v>
      </c>
      <c r="G21" s="29"/>
    </row>
    <row r="22" customFormat="false" ht="35.05" hidden="false" customHeight="false" outlineLevel="0" collapsed="false">
      <c r="A22" s="6" t="s">
        <v>752</v>
      </c>
      <c r="B22" s="5"/>
      <c r="C22" s="6" t="s">
        <v>757</v>
      </c>
      <c r="D22" s="6" t="s">
        <v>716</v>
      </c>
      <c r="E22" s="6" t="s">
        <v>748</v>
      </c>
      <c r="F22" s="6" t="s">
        <v>758</v>
      </c>
      <c r="G22" s="29"/>
    </row>
    <row r="23" customFormat="false" ht="35.05" hidden="false" customHeight="false" outlineLevel="0" collapsed="false">
      <c r="A23" s="6" t="s">
        <v>752</v>
      </c>
      <c r="B23" s="5"/>
      <c r="C23" s="6" t="s">
        <v>759</v>
      </c>
      <c r="D23" s="6" t="s">
        <v>716</v>
      </c>
      <c r="E23" s="6" t="s">
        <v>728</v>
      </c>
      <c r="F23" s="6" t="s">
        <v>760</v>
      </c>
      <c r="G23" s="29"/>
    </row>
    <row r="24" customFormat="false" ht="23.85" hidden="false" customHeight="false" outlineLevel="0" collapsed="false">
      <c r="A24" s="6" t="s">
        <v>752</v>
      </c>
      <c r="B24" s="5"/>
      <c r="C24" s="6" t="s">
        <v>761</v>
      </c>
      <c r="D24" s="6" t="s">
        <v>720</v>
      </c>
      <c r="E24" s="6" t="s">
        <v>748</v>
      </c>
      <c r="F24" s="6" t="s">
        <v>762</v>
      </c>
      <c r="G24" s="29"/>
    </row>
    <row r="25" customFormat="false" ht="35.05" hidden="false" customHeight="false" outlineLevel="0" collapsed="false">
      <c r="A25" s="6" t="s">
        <v>752</v>
      </c>
      <c r="B25" s="5"/>
      <c r="C25" s="6" t="s">
        <v>763</v>
      </c>
      <c r="D25" s="6" t="s">
        <v>724</v>
      </c>
      <c r="E25" s="6" t="s">
        <v>748</v>
      </c>
      <c r="F25" s="6" t="s">
        <v>764</v>
      </c>
      <c r="G25" s="29"/>
    </row>
    <row r="26" customFormat="false" ht="23.85" hidden="false" customHeight="false" outlineLevel="0" collapsed="false">
      <c r="A26" s="6" t="s">
        <v>765</v>
      </c>
      <c r="B26" s="5"/>
      <c r="C26" s="6" t="s">
        <v>766</v>
      </c>
      <c r="D26" s="6"/>
      <c r="E26" s="6" t="s">
        <v>767</v>
      </c>
      <c r="F26" s="6" t="s">
        <v>768</v>
      </c>
      <c r="G26" s="2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60"/>
    <col collapsed="false" customWidth="true" hidden="false" outlineLevel="0" max="4" min="4" style="0" width="30"/>
  </cols>
  <sheetData>
    <row r="1" customFormat="false" ht="17.35" hidden="false" customHeight="false" outlineLevel="0" collapsed="false">
      <c r="A1" s="1" t="s">
        <v>769</v>
      </c>
    </row>
    <row r="2" customFormat="false" ht="15" hidden="false" customHeight="false" outlineLevel="0" collapsed="false">
      <c r="A2" s="2" t="s">
        <v>770</v>
      </c>
    </row>
    <row r="4" customFormat="false" ht="15" hidden="false" customHeight="false" outlineLevel="0" collapsed="false">
      <c r="A4" s="4" t="s">
        <v>409</v>
      </c>
      <c r="B4" s="4" t="s">
        <v>410</v>
      </c>
      <c r="C4" s="4" t="s">
        <v>771</v>
      </c>
      <c r="D4" s="4" t="s">
        <v>772</v>
      </c>
    </row>
    <row r="5" customFormat="false" ht="15" hidden="false" customHeight="false" outlineLevel="0" collapsed="false">
      <c r="A5" s="5" t="n">
        <v>1</v>
      </c>
      <c r="B5" s="6" t="s">
        <v>773</v>
      </c>
      <c r="C5" s="6" t="s">
        <v>774</v>
      </c>
      <c r="D5" s="29"/>
    </row>
    <row r="6" customFormat="false" ht="23.85" hidden="false" customHeight="false" outlineLevel="0" collapsed="false">
      <c r="A6" s="5" t="n">
        <v>2</v>
      </c>
      <c r="B6" s="6" t="s">
        <v>775</v>
      </c>
      <c r="C6" s="6" t="s">
        <v>776</v>
      </c>
      <c r="D6" s="29"/>
    </row>
    <row r="7" customFormat="false" ht="15" hidden="false" customHeight="false" outlineLevel="0" collapsed="false">
      <c r="A7" s="5" t="n">
        <v>3</v>
      </c>
      <c r="B7" s="6" t="s">
        <v>777</v>
      </c>
      <c r="C7" s="6" t="s">
        <v>778</v>
      </c>
      <c r="D7" s="29"/>
    </row>
    <row r="8" customFormat="false" ht="23.85" hidden="false" customHeight="false" outlineLevel="0" collapsed="false">
      <c r="A8" s="5" t="n">
        <v>4</v>
      </c>
      <c r="B8" s="6" t="s">
        <v>779</v>
      </c>
      <c r="C8" s="6" t="s">
        <v>780</v>
      </c>
      <c r="D8" s="29"/>
    </row>
    <row r="10" customFormat="false" ht="15" hidden="false" customHeight="false" outlineLevel="0" collapsed="false">
      <c r="A10" s="3" t="s">
        <v>781</v>
      </c>
    </row>
    <row r="11" customFormat="false" ht="15" hidden="false" customHeight="false" outlineLevel="0" collapsed="false">
      <c r="A11" s="4"/>
      <c r="B11" s="4" t="s">
        <v>80</v>
      </c>
      <c r="C11" s="4" t="s">
        <v>81</v>
      </c>
      <c r="D11" s="4"/>
    </row>
    <row r="12" customFormat="false" ht="15" hidden="false" customHeight="false" outlineLevel="0" collapsed="false">
      <c r="B12" s="6" t="s">
        <v>782</v>
      </c>
      <c r="C12" s="10" t="s">
        <v>783</v>
      </c>
    </row>
    <row r="13" customFormat="false" ht="15" hidden="false" customHeight="false" outlineLevel="0" collapsed="false">
      <c r="B13" s="6" t="s">
        <v>784</v>
      </c>
      <c r="C13" s="10" t="s">
        <v>785</v>
      </c>
    </row>
    <row r="14" customFormat="false" ht="15" hidden="false" customHeight="false" outlineLevel="0" collapsed="false">
      <c r="B14" s="6" t="s">
        <v>786</v>
      </c>
      <c r="C14" s="10" t="s">
        <v>787</v>
      </c>
    </row>
    <row r="15" customFormat="false" ht="15" hidden="false" customHeight="false" outlineLevel="0" collapsed="false">
      <c r="B15" s="6" t="s">
        <v>788</v>
      </c>
      <c r="C15" s="10" t="s">
        <v>789</v>
      </c>
    </row>
    <row r="16" customFormat="false" ht="15" hidden="false" customHeight="false" outlineLevel="0" collapsed="false">
      <c r="B16" s="6" t="s">
        <v>790</v>
      </c>
      <c r="C16" s="10" t="s">
        <v>787</v>
      </c>
    </row>
    <row r="17" customFormat="false" ht="15" hidden="false" customHeight="false" outlineLevel="0" collapsed="false">
      <c r="B17" s="6" t="s">
        <v>791</v>
      </c>
      <c r="C17" s="10" t="s">
        <v>792</v>
      </c>
    </row>
    <row r="18" customFormat="false" ht="23.85" hidden="false" customHeight="false" outlineLevel="0" collapsed="false">
      <c r="B18" s="6" t="s">
        <v>793</v>
      </c>
      <c r="C18" s="10" t="s">
        <v>794</v>
      </c>
    </row>
    <row r="19" customFormat="false" ht="23.85" hidden="false" customHeight="false" outlineLevel="0" collapsed="false">
      <c r="B19" s="6" t="s">
        <v>488</v>
      </c>
      <c r="C19" s="10" t="s">
        <v>795</v>
      </c>
    </row>
    <row r="21" customFormat="false" ht="15" hidden="false" customHeight="false" outlineLevel="0" collapsed="false">
      <c r="A21" s="3" t="s">
        <v>796</v>
      </c>
    </row>
    <row r="22" customFormat="false" ht="45" hidden="false" customHeight="true" outlineLevel="0" collapsed="false">
      <c r="A22" s="5" t="n">
        <v>1</v>
      </c>
      <c r="B22" s="6" t="s">
        <v>797</v>
      </c>
      <c r="C22" s="6"/>
    </row>
    <row r="23" customFormat="false" ht="45" hidden="false" customHeight="true" outlineLevel="0" collapsed="false">
      <c r="A23" s="5" t="n">
        <v>2</v>
      </c>
      <c r="B23" s="6" t="s">
        <v>798</v>
      </c>
      <c r="C23" s="6"/>
    </row>
    <row r="24" customFormat="false" ht="45" hidden="false" customHeight="true" outlineLevel="0" collapsed="false">
      <c r="A24" s="5" t="n">
        <v>3</v>
      </c>
      <c r="B24" s="6" t="s">
        <v>799</v>
      </c>
      <c r="C24" s="6"/>
    </row>
    <row r="25" customFormat="false" ht="45" hidden="false" customHeight="true" outlineLevel="0" collapsed="false">
      <c r="A25" s="5" t="n">
        <v>4</v>
      </c>
      <c r="B25" s="6" t="s">
        <v>800</v>
      </c>
      <c r="C25" s="6"/>
    </row>
    <row r="26" customFormat="false" ht="45" hidden="false" customHeight="true" outlineLevel="0" collapsed="false">
      <c r="A26" s="5" t="n">
        <v>5</v>
      </c>
      <c r="B26" s="6" t="s">
        <v>801</v>
      </c>
      <c r="C26" s="6"/>
    </row>
    <row r="27" customFormat="false" ht="45" hidden="false" customHeight="true" outlineLevel="0" collapsed="false">
      <c r="A27" s="5" t="n">
        <v>6</v>
      </c>
      <c r="B27" s="6" t="s">
        <v>802</v>
      </c>
      <c r="C27" s="6"/>
    </row>
  </sheetData>
  <mergeCells count="6">
    <mergeCell ref="B22:C22"/>
    <mergeCell ref="B23:C23"/>
    <mergeCell ref="B24:C24"/>
    <mergeCell ref="B25:C25"/>
    <mergeCell ref="B26:C26"/>
    <mergeCell ref="B27:C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6"/>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6" min="6" style="0" width="60"/>
  </cols>
  <sheetData>
    <row r="1" customFormat="false" ht="17.35" hidden="false" customHeight="false" outlineLevel="0" collapsed="false">
      <c r="A1" s="1" t="s">
        <v>803</v>
      </c>
    </row>
    <row r="2" customFormat="false" ht="15" hidden="false" customHeight="false" outlineLevel="0" collapsed="false">
      <c r="A2" s="2" t="s">
        <v>804</v>
      </c>
    </row>
    <row r="4" customFormat="false" ht="23.85" hidden="false" customHeight="false" outlineLevel="0" collapsed="false">
      <c r="A4" s="4" t="s">
        <v>409</v>
      </c>
      <c r="B4" s="4" t="s">
        <v>805</v>
      </c>
      <c r="C4" s="4" t="s">
        <v>806</v>
      </c>
      <c r="D4" s="4" t="s">
        <v>807</v>
      </c>
      <c r="E4" s="4" t="s">
        <v>808</v>
      </c>
      <c r="F4" s="4" t="s">
        <v>809</v>
      </c>
    </row>
    <row r="5" customFormat="false" ht="15" hidden="false" customHeight="false" outlineLevel="0" collapsed="false">
      <c r="A5" s="5" t="n">
        <v>1</v>
      </c>
      <c r="B5" s="6" t="s">
        <v>810</v>
      </c>
      <c r="C5" s="36" t="n">
        <f aca="false">MAX(ABS(CMO_Tab1!G5),ABS(CMO_Tab1!G6),ABS(CMO_Tab1!G7),ABS(CMO_Tab1!G8))</f>
        <v>0.00333333333333336</v>
      </c>
      <c r="D5" s="37" t="n">
        <v>0.01</v>
      </c>
      <c r="E5" s="17" t="str">
        <f aca="false">IF(C5&lt;=D5,"stimmig","prüfen")</f>
        <v>stimmig</v>
      </c>
      <c r="F5" s="6" t="s">
        <v>811</v>
      </c>
    </row>
    <row r="6" customFormat="false" ht="15" hidden="false" customHeight="false" outlineLevel="0" collapsed="false">
      <c r="A6" s="5" t="n">
        <v>2</v>
      </c>
      <c r="B6" s="6" t="s">
        <v>812</v>
      </c>
      <c r="C6" s="36" t="n">
        <f aca="false">MAX(ABS(CMO_Tab1!B10),ABS(CMO_Tab1!C10),ABS(CMO_Tab1!D10),ABS(CMO_Tab1!E10))</f>
        <v>0.00333333333333341</v>
      </c>
      <c r="D6" s="37" t="n">
        <v>0.01</v>
      </c>
      <c r="E6" s="17" t="str">
        <f aca="false">IF(C6&lt;=D6,"stimmig","prüfen")</f>
        <v>stimmig</v>
      </c>
      <c r="F6" s="6"/>
    </row>
    <row r="7" customFormat="false" ht="15" hidden="false" customHeight="false" outlineLevel="0" collapsed="false">
      <c r="A7" s="5" t="n">
        <v>3</v>
      </c>
      <c r="B7" s="6" t="s">
        <v>813</v>
      </c>
      <c r="C7" s="36" t="n">
        <f aca="false">MAX(ABS(CMO_Tab2!G5),ABS(CMO_Tab2!G6),ABS(CMO_Tab2!G7))</f>
        <v>0</v>
      </c>
      <c r="D7" s="37" t="n">
        <v>0.0001</v>
      </c>
      <c r="E7" s="17" t="str">
        <f aca="false">IF(C7&lt;=D7,"stimmig","prüfen")</f>
        <v>stimmig</v>
      </c>
      <c r="F7" s="6" t="s">
        <v>814</v>
      </c>
    </row>
    <row r="8" customFormat="false" ht="23.85" hidden="false" customHeight="false" outlineLevel="0" collapsed="false">
      <c r="A8" s="5" t="n">
        <v>4</v>
      </c>
      <c r="B8" s="6" t="s">
        <v>815</v>
      </c>
      <c r="C8" s="36" t="n">
        <f aca="false">ABS(CMO_Design!B15-CMO_Design!B16)+ABS(CMO_Design!B19-CMO_Design!B20)+ABS(CMO_Design!B23-CMO_Design!B24)</f>
        <v>0</v>
      </c>
      <c r="D8" s="37" t="n">
        <v>0.0001</v>
      </c>
      <c r="E8" s="17" t="str">
        <f aca="false">IF(C8&lt;=D8,"stimmig","prüfen")</f>
        <v>stimmig</v>
      </c>
      <c r="F8" s="6" t="s">
        <v>816</v>
      </c>
    </row>
    <row r="9" customFormat="false" ht="15" hidden="false" customHeight="false" outlineLevel="0" collapsed="false">
      <c r="A9" s="5" t="n">
        <v>5</v>
      </c>
      <c r="B9" s="6" t="s">
        <v>817</v>
      </c>
      <c r="C9" s="38" t="n">
        <f aca="false">CMO_Design!B30</f>
        <v>324</v>
      </c>
      <c r="D9" s="25" t="n">
        <v>324</v>
      </c>
      <c r="E9" s="17" t="str">
        <f aca="false">IF(C9=D9,"stimmig","prüfen")</f>
        <v>stimmig</v>
      </c>
      <c r="F9" s="6"/>
    </row>
    <row r="10" customFormat="false" ht="15" hidden="false" customHeight="false" outlineLevel="0" collapsed="false">
      <c r="A10" s="5" t="n">
        <v>6</v>
      </c>
      <c r="B10" s="6" t="s">
        <v>818</v>
      </c>
      <c r="C10" s="36" t="n">
        <f aca="false">MAX(ABS(CMO_Strukturen!L47-5.5),ABS(CMO_Strukturen!L48-5.5),ABS(CMO_Strukturen!L49-5.5))</f>
        <v>0</v>
      </c>
      <c r="D10" s="37" t="n">
        <v>0.0001</v>
      </c>
      <c r="E10" s="17" t="str">
        <f aca="false">IF(C10&lt;=D10,"stimmig","prüfen")</f>
        <v>stimmig</v>
      </c>
      <c r="F10" s="6" t="s">
        <v>819</v>
      </c>
    </row>
    <row r="11" customFormat="false" ht="15" hidden="false" customHeight="false" outlineLevel="0" collapsed="false">
      <c r="A11" s="5" t="n">
        <v>7</v>
      </c>
      <c r="B11" s="6" t="s">
        <v>820</v>
      </c>
      <c r="C11" s="38" t="n">
        <f aca="false">CMO_Strukturen!B69+CMO_Strukturen!B70</f>
        <v>0</v>
      </c>
      <c r="D11" s="25" t="n">
        <v>0</v>
      </c>
      <c r="E11" s="17" t="str">
        <f aca="false">IF(C11=D11,"stimmig","prüfen")</f>
        <v>stimmig</v>
      </c>
      <c r="F11" s="6" t="s">
        <v>821</v>
      </c>
    </row>
    <row r="12" customFormat="false" ht="15" hidden="false" customHeight="false" outlineLevel="0" collapsed="false">
      <c r="A12" s="5" t="n">
        <v>8</v>
      </c>
      <c r="B12" s="6" t="s">
        <v>822</v>
      </c>
      <c r="C12" s="38" t="n">
        <f aca="false">IF(AND(CMO_Tab5!F6=CMO_Tab5!C14,CMO_Tab5!F7=CMO_Tab5!C17,CMO_Tab5!F8=CMO_Tab5!C20,CMO_Tab5!F9=CMO_Tab5!C23),0,1)</f>
        <v>0</v>
      </c>
      <c r="D12" s="25" t="n">
        <v>0</v>
      </c>
      <c r="E12" s="17" t="str">
        <f aca="false">IF(C12=D12,"stimmig","prüfen")</f>
        <v>stimmig</v>
      </c>
      <c r="F12" s="6" t="s">
        <v>823</v>
      </c>
    </row>
    <row r="13" customFormat="false" ht="15" hidden="false" customHeight="false" outlineLevel="0" collapsed="false">
      <c r="A13" s="5" t="n">
        <v>9</v>
      </c>
      <c r="B13" s="6" t="s">
        <v>824</v>
      </c>
      <c r="C13" s="22" t="n">
        <f aca="false">CMO_Textwerte!E9</f>
        <v>3.0952380952381</v>
      </c>
      <c r="D13" s="18" t="n">
        <v>3</v>
      </c>
      <c r="E13" s="17" t="str">
        <f aca="false">IF(ABS(C13-D13)&lt;=0.2,"stimmig","prüfen")</f>
        <v>stimmig</v>
      </c>
      <c r="F13" s="6" t="s">
        <v>825</v>
      </c>
    </row>
    <row r="14" customFormat="false" ht="15" hidden="false" customHeight="false" outlineLevel="0" collapsed="false">
      <c r="A14" s="5" t="n">
        <v>10</v>
      </c>
      <c r="B14" s="6" t="s">
        <v>826</v>
      </c>
      <c r="C14" s="36" t="n">
        <f aca="false">CMO_Textwerte!E10</f>
        <v>0.728571428571429</v>
      </c>
      <c r="D14" s="37" t="n">
        <v>0.75</v>
      </c>
      <c r="E14" s="17" t="str">
        <f aca="false">IF(AND(C14&lt;D14,C14&gt;0.65),"stimmig","prüfen")</f>
        <v>stimmig</v>
      </c>
      <c r="F14" s="6" t="s">
        <v>827</v>
      </c>
    </row>
    <row r="15" customFormat="false" ht="15" hidden="false" customHeight="false" outlineLevel="0" collapsed="false">
      <c r="A15" s="5" t="n">
        <v>11</v>
      </c>
      <c r="B15" s="6" t="s">
        <v>828</v>
      </c>
      <c r="C15" s="36" t="n">
        <f aca="false">CMO_Textwerte!E11</f>
        <v>0.588235294117647</v>
      </c>
      <c r="D15" s="37" t="n">
        <v>0.5</v>
      </c>
      <c r="E15" s="17" t="str">
        <f aca="false">IF(C15&gt;D15,"stimmig","prüfen")</f>
        <v>stimmig</v>
      </c>
      <c r="F15" s="6" t="s">
        <v>829</v>
      </c>
    </row>
    <row r="16" customFormat="false" ht="15" hidden="false" customHeight="false" outlineLevel="0" collapsed="false">
      <c r="A16" s="5" t="n">
        <v>12</v>
      </c>
      <c r="B16" s="6" t="s">
        <v>830</v>
      </c>
      <c r="C16" s="22" t="n">
        <f aca="false">FL_Abb12_13_18!C18</f>
        <v>13.4199134199134</v>
      </c>
      <c r="D16" s="18" t="n">
        <v>13.4</v>
      </c>
      <c r="E16" s="17" t="str">
        <f aca="false">IF(ABS(C16-D16)&lt;=0.1,"stimmig","prüfen")</f>
        <v>stimmig</v>
      </c>
      <c r="F16" s="6" t="s">
        <v>831</v>
      </c>
    </row>
    <row r="17" customFormat="false" ht="15" hidden="false" customHeight="false" outlineLevel="0" collapsed="false">
      <c r="A17" s="5" t="n">
        <v>13</v>
      </c>
      <c r="B17" s="6" t="s">
        <v>832</v>
      </c>
      <c r="C17" s="39" t="n">
        <f aca="false">FL_Abb12_13_18!C5+FL_Abb12_13_18!C6</f>
        <v>100</v>
      </c>
      <c r="D17" s="21" t="n">
        <v>100</v>
      </c>
      <c r="E17" s="17" t="str">
        <f aca="false">IF(ABS(C17-D17)&lt;=0.5,"stimmig","prüfen")</f>
        <v>stimmig</v>
      </c>
      <c r="F17" s="6"/>
    </row>
    <row r="18" customFormat="false" ht="15" hidden="false" customHeight="false" outlineLevel="0" collapsed="false">
      <c r="A18" s="5" t="n">
        <v>14</v>
      </c>
      <c r="B18" s="6" t="s">
        <v>833</v>
      </c>
      <c r="C18" s="39" t="n">
        <f aca="false">FL_Abb12_13_18!C7+FL_Abb12_13_18!C8+FL_Abb12_13_18!C9</f>
        <v>100</v>
      </c>
      <c r="D18" s="21" t="n">
        <v>100</v>
      </c>
      <c r="E18" s="17" t="str">
        <f aca="false">IF(ABS(C18-D18)&lt;=0.5,"stimmig","prüfen")</f>
        <v>stimmig</v>
      </c>
      <c r="F18" s="6"/>
    </row>
    <row r="19" customFormat="false" ht="23.85" hidden="false" customHeight="false" outlineLevel="0" collapsed="false">
      <c r="A19" s="5" t="n">
        <v>15</v>
      </c>
      <c r="B19" s="6" t="s">
        <v>834</v>
      </c>
      <c r="C19" s="39" t="n">
        <f aca="false">FL_Abb15_17!E14/FL_Abb15_17!D14*100-FL_Abb14!D14</f>
        <v>1.9782608695652</v>
      </c>
      <c r="D19" s="21" t="n">
        <v>4.5</v>
      </c>
      <c r="E19" s="17" t="str">
        <f aca="false">IF(ABS(C19)&lt;=D19,"stimmig","prüfen")</f>
        <v>stimmig</v>
      </c>
      <c r="F19" s="6" t="s">
        <v>835</v>
      </c>
    </row>
    <row r="20" customFormat="false" ht="23.85" hidden="false" customHeight="false" outlineLevel="0" collapsed="false">
      <c r="A20" s="5" t="n">
        <v>16</v>
      </c>
      <c r="B20" s="6" t="s">
        <v>836</v>
      </c>
      <c r="C20" s="39" t="n">
        <f aca="false">FL_Abb15_17!F14/FL_Abb15_17!D14*100-FL_Abb14!F14</f>
        <v>4.15217391304348</v>
      </c>
      <c r="D20" s="21" t="n">
        <v>4.5</v>
      </c>
      <c r="E20" s="17" t="str">
        <f aca="false">IF(ABS(C20)&lt;=D20,"stimmig","prüfen")</f>
        <v>stimmig</v>
      </c>
      <c r="F20" s="6"/>
    </row>
    <row r="21" customFormat="false" ht="23.85" hidden="false" customHeight="false" outlineLevel="0" collapsed="false">
      <c r="A21" s="5" t="n">
        <v>17</v>
      </c>
      <c r="B21" s="6" t="s">
        <v>837</v>
      </c>
      <c r="C21" s="39" t="n">
        <f aca="false">FL_Abb15_17!E23/FL_Abb15_17!D23*100-FL_Abb14!D13</f>
        <v>0.606060606060595</v>
      </c>
      <c r="D21" s="21" t="n">
        <v>4.5</v>
      </c>
      <c r="E21" s="17" t="str">
        <f aca="false">IF(ABS(C21)&lt;=D21,"stimmig","prüfen")</f>
        <v>stimmig</v>
      </c>
      <c r="F21" s="6"/>
    </row>
    <row r="22" customFormat="false" ht="23.85" hidden="false" customHeight="false" outlineLevel="0" collapsed="false">
      <c r="A22" s="5" t="n">
        <v>18</v>
      </c>
      <c r="B22" s="6" t="s">
        <v>838</v>
      </c>
      <c r="C22" s="39" t="n">
        <f aca="false">FL_Abb15_17!F23/FL_Abb15_17!D23*100-FL_Abb14!F13</f>
        <v>-1.86868686868688</v>
      </c>
      <c r="D22" s="21" t="n">
        <v>4.5</v>
      </c>
      <c r="E22" s="17" t="str">
        <f aca="false">IF(ABS(C22)&lt;=D22,"stimmig","prüfen")</f>
        <v>stimmig</v>
      </c>
      <c r="F22" s="6"/>
    </row>
    <row r="23" customFormat="false" ht="23.85" hidden="false" customHeight="false" outlineLevel="0" collapsed="false">
      <c r="A23" s="5" t="n">
        <v>19</v>
      </c>
      <c r="B23" s="6" t="s">
        <v>839</v>
      </c>
      <c r="C23" s="36" t="n">
        <f aca="false">MAX(FL_Abb15_17!D5:F13)/FL_Abb15_17!B39</f>
        <v>1.01003344481605</v>
      </c>
      <c r="D23" s="37" t="n">
        <v>1.02</v>
      </c>
      <c r="E23" s="17" t="str">
        <f aca="false">IF(C23&lt;=D23,"stimmig","prüfen")</f>
        <v>stimmig</v>
      </c>
      <c r="F23" s="6" t="s">
        <v>840</v>
      </c>
    </row>
    <row r="24" customFormat="false" ht="23.85" hidden="false" customHeight="false" outlineLevel="0" collapsed="false">
      <c r="A24" s="5" t="n">
        <v>20</v>
      </c>
      <c r="B24" s="6" t="s">
        <v>841</v>
      </c>
      <c r="C24" s="36" t="n">
        <f aca="false">MAX(FL_Abb15_17!D23:F31)/FL_Abb15_17!B40</f>
        <v>1.00334448160535</v>
      </c>
      <c r="D24" s="37" t="n">
        <v>1.02</v>
      </c>
      <c r="E24" s="17" t="str">
        <f aca="false">IF(C24&lt;=D24,"stimmig","prüfen")</f>
        <v>stimmig</v>
      </c>
      <c r="F24" s="6"/>
    </row>
    <row r="25" customFormat="false" ht="15" hidden="false" customHeight="false" outlineLevel="0" collapsed="false">
      <c r="A25" s="5" t="n">
        <v>21</v>
      </c>
      <c r="B25" s="6" t="s">
        <v>842</v>
      </c>
      <c r="C25" s="38" t="n">
        <f aca="false">MAX(FL_Abb15_17!D14:F22)</f>
        <v>400</v>
      </c>
      <c r="D25" s="25" t="n">
        <v>400</v>
      </c>
      <c r="E25" s="17" t="str">
        <f aca="false">IF(C25&lt;=D25,"stimmig","prüfen")</f>
        <v>stimmig</v>
      </c>
      <c r="F25" s="6"/>
    </row>
    <row r="26" customFormat="false" ht="15" hidden="false" customHeight="false" outlineLevel="0" collapsed="false">
      <c r="A26" s="5" t="n">
        <v>22</v>
      </c>
      <c r="B26" s="6" t="s">
        <v>843</v>
      </c>
      <c r="C26" s="38" t="n">
        <f aca="false">SUMPRODUCT(--(FL_Abb19!D5:D16&lt;FL_Abb19!E5:E16))</f>
        <v>11</v>
      </c>
      <c r="D26" s="25" t="n">
        <v>11</v>
      </c>
      <c r="E26" s="17" t="str">
        <f aca="false">IF(C26&gt;=D26,"stimmig","prüfen")</f>
        <v>stimmig</v>
      </c>
      <c r="F26" s="6" t="s">
        <v>844</v>
      </c>
    </row>
    <row r="28" customFormat="false" ht="15" hidden="false" customHeight="false" outlineLevel="0" collapsed="false">
      <c r="A28" s="3" t="s">
        <v>845</v>
      </c>
    </row>
    <row r="29" customFormat="false" ht="30" hidden="false" customHeight="true" outlineLevel="0" collapsed="false">
      <c r="B29" s="6" t="s">
        <v>846</v>
      </c>
      <c r="C29" s="6"/>
      <c r="D29" s="6"/>
      <c r="E29" s="6"/>
      <c r="F29" s="6"/>
    </row>
    <row r="30" customFormat="false" ht="30" hidden="false" customHeight="true" outlineLevel="0" collapsed="false">
      <c r="B30" s="6" t="s">
        <v>847</v>
      </c>
      <c r="C30" s="6"/>
      <c r="D30" s="6"/>
      <c r="E30" s="6"/>
      <c r="F30" s="6"/>
    </row>
    <row r="31" customFormat="false" ht="30" hidden="false" customHeight="true" outlineLevel="0" collapsed="false">
      <c r="B31" s="6" t="s">
        <v>848</v>
      </c>
      <c r="C31" s="6"/>
      <c r="D31" s="6"/>
      <c r="E31" s="6"/>
      <c r="F31" s="6"/>
    </row>
  </sheetData>
  <mergeCells count="3">
    <mergeCell ref="B29:F29"/>
    <mergeCell ref="B30:F30"/>
    <mergeCell ref="B31:F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4" min="3" style="0" width="34"/>
    <col collapsed="false" customWidth="true" hidden="false" outlineLevel="0" max="7" min="5" style="0" width="12"/>
    <col collapsed="false" customWidth="true" hidden="false" outlineLevel="0" max="8" min="8" style="0" width="10"/>
    <col collapsed="false" customWidth="true" hidden="false" outlineLevel="0" max="11" min="9" style="0" width="14"/>
    <col collapsed="false" customWidth="true" hidden="false" outlineLevel="0" max="12" min="12" style="0" width="26"/>
  </cols>
  <sheetData>
    <row r="1" customFormat="false" ht="17.35" hidden="false" customHeight="false" outlineLevel="0" collapsed="false">
      <c r="A1" s="1" t="s">
        <v>849</v>
      </c>
    </row>
    <row r="2" customFormat="false" ht="15" hidden="false" customHeight="false" outlineLevel="0" collapsed="false">
      <c r="A2" s="2" t="s">
        <v>850</v>
      </c>
    </row>
    <row r="4" customFormat="false" ht="15" hidden="false" customHeight="true" outlineLevel="0" collapsed="false">
      <c r="A4" s="5" t="s">
        <v>851</v>
      </c>
      <c r="B4" s="5"/>
      <c r="C4" s="40" t="n">
        <v>0.03</v>
      </c>
      <c r="E4" s="5" t="s">
        <v>852</v>
      </c>
      <c r="F4" s="5" t="s">
        <v>89</v>
      </c>
      <c r="G4" s="41" t="n">
        <f aca="false">COUNTIF($L$11:$L$300,E4)</f>
        <v>85</v>
      </c>
    </row>
    <row r="5" customFormat="false" ht="35.05" hidden="false" customHeight="true" outlineLevel="0" collapsed="false">
      <c r="A5" s="5" t="s">
        <v>853</v>
      </c>
      <c r="B5" s="5"/>
      <c r="C5" s="42" t="n">
        <v>0.05</v>
      </c>
      <c r="E5" s="5" t="s">
        <v>854</v>
      </c>
      <c r="G5" s="41" t="n">
        <f aca="false">COUNTIF($L$11:$L$300,E5)</f>
        <v>3</v>
      </c>
    </row>
    <row r="6" customFormat="false" ht="23.85" hidden="false" customHeight="true" outlineLevel="0" collapsed="false">
      <c r="A6" s="5" t="s">
        <v>855</v>
      </c>
      <c r="B6" s="5"/>
      <c r="C6" s="43" t="n">
        <v>2</v>
      </c>
      <c r="E6" s="5" t="s">
        <v>856</v>
      </c>
      <c r="G6" s="41" t="n">
        <f aca="false">COUNTIF($L$11:$L$300,E6)</f>
        <v>12</v>
      </c>
    </row>
    <row r="7" customFormat="false" ht="15" hidden="false" customHeight="false" outlineLevel="0" collapsed="false">
      <c r="E7" s="5" t="s">
        <v>857</v>
      </c>
      <c r="G7" s="41" t="n">
        <f aca="false">COUNTIF($L$11:$L$300,E7)</f>
        <v>1</v>
      </c>
    </row>
    <row r="10" customFormat="false" ht="46.25" hidden="false" customHeight="false" outlineLevel="0" collapsed="false">
      <c r="A10" s="4" t="s">
        <v>858</v>
      </c>
      <c r="B10" s="4" t="s">
        <v>83</v>
      </c>
      <c r="C10" s="4" t="s">
        <v>859</v>
      </c>
      <c r="D10" s="4" t="s">
        <v>860</v>
      </c>
      <c r="E10" s="4" t="s">
        <v>861</v>
      </c>
      <c r="F10" s="4" t="s">
        <v>862</v>
      </c>
      <c r="G10" s="4" t="s">
        <v>863</v>
      </c>
      <c r="H10" s="4" t="s">
        <v>864</v>
      </c>
      <c r="I10" s="4" t="s">
        <v>865</v>
      </c>
      <c r="J10" s="4" t="s">
        <v>866</v>
      </c>
      <c r="K10" s="4" t="s">
        <v>867</v>
      </c>
      <c r="L10" s="4" t="s">
        <v>808</v>
      </c>
    </row>
    <row r="11" customFormat="false" ht="23.85" hidden="false" customHeight="false" outlineLevel="0" collapsed="false">
      <c r="A11" s="6" t="s">
        <v>868</v>
      </c>
      <c r="B11" s="6" t="s">
        <v>869</v>
      </c>
      <c r="C11" s="6" t="s">
        <v>870</v>
      </c>
      <c r="D11" s="6" t="s">
        <v>871</v>
      </c>
      <c r="E11" s="27" t="n">
        <f aca="false">CMO_Tab1!B5</f>
        <v>0.55</v>
      </c>
      <c r="F11" s="25" t="n">
        <v>2</v>
      </c>
      <c r="G11" s="19" t="n">
        <f aca="false">0.5*10^(-F11)</f>
        <v>0.005</v>
      </c>
      <c r="H11" s="6" t="s">
        <v>872</v>
      </c>
      <c r="I11" s="19" t="n">
        <f aca="false">IF(H11="Anteil",$C$4,IF(H11="Zählwert",MAX($C$6,$C$5*ABS(E11)),$C$5*ABS(E11)))</f>
        <v>0.03</v>
      </c>
      <c r="J11" s="44"/>
      <c r="K11" s="19" t="str">
        <f aca="false">IF(J11="","",J11-E11)</f>
        <v/>
      </c>
      <c r="L11" s="17" t="str">
        <f aca="false">IF(J11="",$E$4,IF(ABS(J11-E11)&lt;=G11+0.0000001,$E$5,IF(ABS(J11-E11)&lt;=I11,$E$6,$E$7)))</f>
        <v>offen</v>
      </c>
    </row>
    <row r="12" customFormat="false" ht="23.85" hidden="false" customHeight="false" outlineLevel="0" collapsed="false">
      <c r="A12" s="6" t="s">
        <v>873</v>
      </c>
      <c r="B12" s="6" t="s">
        <v>869</v>
      </c>
      <c r="C12" s="6" t="s">
        <v>870</v>
      </c>
      <c r="D12" s="6" t="s">
        <v>874</v>
      </c>
      <c r="E12" s="27" t="n">
        <f aca="false">CMO_Tab1!C5</f>
        <v>0.38</v>
      </c>
      <c r="F12" s="25" t="n">
        <v>2</v>
      </c>
      <c r="G12" s="19" t="n">
        <f aca="false">0.5*10^(-F12)</f>
        <v>0.005</v>
      </c>
      <c r="H12" s="6" t="s">
        <v>872</v>
      </c>
      <c r="I12" s="19" t="n">
        <f aca="false">IF(H12="Anteil",$C$4,IF(H12="Zählwert",MAX($C$6,$C$5*ABS(E12)),$C$5*ABS(E12)))</f>
        <v>0.03</v>
      </c>
      <c r="J12" s="44"/>
      <c r="K12" s="19" t="str">
        <f aca="false">IF(J12="","",J12-E12)</f>
        <v/>
      </c>
      <c r="L12" s="17" t="str">
        <f aca="false">IF(J12="",$E$4,IF(ABS(J12-E12)&lt;=G12+0.0000001,$E$5,IF(ABS(J12-E12)&lt;=I12,$E$6,$E$7)))</f>
        <v>offen</v>
      </c>
    </row>
    <row r="13" customFormat="false" ht="23.85" hidden="false" customHeight="false" outlineLevel="0" collapsed="false">
      <c r="A13" s="6" t="s">
        <v>875</v>
      </c>
      <c r="B13" s="6" t="s">
        <v>869</v>
      </c>
      <c r="C13" s="6" t="s">
        <v>870</v>
      </c>
      <c r="D13" s="6" t="s">
        <v>876</v>
      </c>
      <c r="E13" s="27" t="n">
        <f aca="false">CMO_Tab1!D5</f>
        <v>0.61</v>
      </c>
      <c r="F13" s="25" t="n">
        <v>2</v>
      </c>
      <c r="G13" s="19" t="n">
        <f aca="false">0.5*10^(-F13)</f>
        <v>0.005</v>
      </c>
      <c r="H13" s="6" t="s">
        <v>872</v>
      </c>
      <c r="I13" s="19" t="n">
        <f aca="false">IF(H13="Anteil",$C$4,IF(H13="Zählwert",MAX($C$6,$C$5*ABS(E13)),$C$5*ABS(E13)))</f>
        <v>0.03</v>
      </c>
      <c r="J13" s="44" t="n">
        <v>0.5</v>
      </c>
      <c r="K13" s="19" t="n">
        <f aca="false">IF(J13="","",J13-E13)</f>
        <v>-0.11</v>
      </c>
      <c r="L13" s="17" t="str">
        <f aca="false">IF(J13="",$E$4,IF(ABS(J13-E13)&lt;=G13+0.0000001,$E$5,IF(ABS(J13-E13)&lt;=I13,$E$6,$E$7)))</f>
        <v>Abweichung</v>
      </c>
    </row>
    <row r="14" customFormat="false" ht="23.85" hidden="false" customHeight="false" outlineLevel="0" collapsed="false">
      <c r="A14" s="6" t="s">
        <v>877</v>
      </c>
      <c r="B14" s="6" t="s">
        <v>869</v>
      </c>
      <c r="C14" s="6" t="s">
        <v>870</v>
      </c>
      <c r="D14" s="6" t="s">
        <v>878</v>
      </c>
      <c r="E14" s="27" t="n">
        <f aca="false">CMO_Tab1!E5</f>
        <v>0.65</v>
      </c>
      <c r="F14" s="25" t="n">
        <v>2</v>
      </c>
      <c r="G14" s="19" t="n">
        <f aca="false">0.5*10^(-F14)</f>
        <v>0.005</v>
      </c>
      <c r="H14" s="6" t="s">
        <v>872</v>
      </c>
      <c r="I14" s="19" t="n">
        <f aca="false">IF(H14="Anteil",$C$4,IF(H14="Zählwert",MAX($C$6,$C$5*ABS(E14)),$C$5*ABS(E14)))</f>
        <v>0.03</v>
      </c>
      <c r="J14" s="44"/>
      <c r="K14" s="19" t="str">
        <f aca="false">IF(J14="","",J14-E14)</f>
        <v/>
      </c>
      <c r="L14" s="17" t="str">
        <f aca="false">IF(J14="",$E$4,IF(ABS(J14-E14)&lt;=G14+0.0000001,$E$5,IF(ABS(J14-E14)&lt;=I14,$E$6,$E$7)))</f>
        <v>offen</v>
      </c>
    </row>
    <row r="15" customFormat="false" ht="23.85" hidden="false" customHeight="false" outlineLevel="0" collapsed="false">
      <c r="A15" s="6" t="s">
        <v>879</v>
      </c>
      <c r="B15" s="6" t="s">
        <v>869</v>
      </c>
      <c r="C15" s="6" t="s">
        <v>870</v>
      </c>
      <c r="D15" s="6" t="s">
        <v>880</v>
      </c>
      <c r="E15" s="27" t="n">
        <f aca="false">CMO_Tab1!B6</f>
        <v>0.3</v>
      </c>
      <c r="F15" s="25" t="n">
        <v>2</v>
      </c>
      <c r="G15" s="19" t="n">
        <f aca="false">0.5*10^(-F15)</f>
        <v>0.005</v>
      </c>
      <c r="H15" s="6" t="s">
        <v>872</v>
      </c>
      <c r="I15" s="19" t="n">
        <f aca="false">IF(H15="Anteil",$C$4,IF(H15="Zählwert",MAX($C$6,$C$5*ABS(E15)),$C$5*ABS(E15)))</f>
        <v>0.03</v>
      </c>
      <c r="J15" s="44"/>
      <c r="K15" s="19" t="str">
        <f aca="false">IF(J15="","",J15-E15)</f>
        <v/>
      </c>
      <c r="L15" s="17" t="str">
        <f aca="false">IF(J15="",$E$4,IF(ABS(J15-E15)&lt;=G15+0.0000001,$E$5,IF(ABS(J15-E15)&lt;=I15,$E$6,$E$7)))</f>
        <v>offen</v>
      </c>
    </row>
    <row r="16" customFormat="false" ht="23.85" hidden="false" customHeight="false" outlineLevel="0" collapsed="false">
      <c r="A16" s="6" t="s">
        <v>881</v>
      </c>
      <c r="B16" s="6" t="s">
        <v>869</v>
      </c>
      <c r="C16" s="6" t="s">
        <v>870</v>
      </c>
      <c r="D16" s="6" t="s">
        <v>882</v>
      </c>
      <c r="E16" s="27" t="n">
        <f aca="false">CMO_Tab1!C6</f>
        <v>0.04</v>
      </c>
      <c r="F16" s="25" t="n">
        <v>2</v>
      </c>
      <c r="G16" s="19" t="n">
        <f aca="false">0.5*10^(-F16)</f>
        <v>0.005</v>
      </c>
      <c r="H16" s="6" t="s">
        <v>872</v>
      </c>
      <c r="I16" s="19" t="n">
        <f aca="false">IF(H16="Anteil",$C$4,IF(H16="Zählwert",MAX($C$6,$C$5*ABS(E16)),$C$5*ABS(E16)))</f>
        <v>0.03</v>
      </c>
      <c r="J16" s="44"/>
      <c r="K16" s="19" t="str">
        <f aca="false">IF(J16="","",J16-E16)</f>
        <v/>
      </c>
      <c r="L16" s="17" t="str">
        <f aca="false">IF(J16="",$E$4,IF(ABS(J16-E16)&lt;=G16+0.0000001,$E$5,IF(ABS(J16-E16)&lt;=I16,$E$6,$E$7)))</f>
        <v>offen</v>
      </c>
    </row>
    <row r="17" customFormat="false" ht="23.85" hidden="false" customHeight="false" outlineLevel="0" collapsed="false">
      <c r="A17" s="6" t="s">
        <v>883</v>
      </c>
      <c r="B17" s="6" t="s">
        <v>869</v>
      </c>
      <c r="C17" s="6" t="s">
        <v>870</v>
      </c>
      <c r="D17" s="6" t="s">
        <v>884</v>
      </c>
      <c r="E17" s="27" t="n">
        <f aca="false">CMO_Tab1!D6</f>
        <v>0.27</v>
      </c>
      <c r="F17" s="25" t="n">
        <v>2</v>
      </c>
      <c r="G17" s="19" t="n">
        <f aca="false">0.5*10^(-F17)</f>
        <v>0.005</v>
      </c>
      <c r="H17" s="6" t="s">
        <v>872</v>
      </c>
      <c r="I17" s="19" t="n">
        <f aca="false">IF(H17="Anteil",$C$4,IF(H17="Zählwert",MAX($C$6,$C$5*ABS(E17)),$C$5*ABS(E17)))</f>
        <v>0.03</v>
      </c>
      <c r="J17" s="44"/>
      <c r="K17" s="19" t="str">
        <f aca="false">IF(J17="","",J17-E17)</f>
        <v/>
      </c>
      <c r="L17" s="17" t="str">
        <f aca="false">IF(J17="",$E$4,IF(ABS(J17-E17)&lt;=G17+0.0000001,$E$5,IF(ABS(J17-E17)&lt;=I17,$E$6,$E$7)))</f>
        <v>offen</v>
      </c>
    </row>
    <row r="18" customFormat="false" ht="23.85" hidden="false" customHeight="false" outlineLevel="0" collapsed="false">
      <c r="A18" s="6" t="s">
        <v>885</v>
      </c>
      <c r="B18" s="6" t="s">
        <v>869</v>
      </c>
      <c r="C18" s="6" t="s">
        <v>870</v>
      </c>
      <c r="D18" s="6" t="s">
        <v>886</v>
      </c>
      <c r="E18" s="27" t="n">
        <f aca="false">CMO_Tab1!E6</f>
        <v>0.6</v>
      </c>
      <c r="F18" s="25" t="n">
        <v>2</v>
      </c>
      <c r="G18" s="19" t="n">
        <f aca="false">0.5*10^(-F18)</f>
        <v>0.005</v>
      </c>
      <c r="H18" s="6" t="s">
        <v>872</v>
      </c>
      <c r="I18" s="19" t="n">
        <f aca="false">IF(H18="Anteil",$C$4,IF(H18="Zählwert",MAX($C$6,$C$5*ABS(E18)),$C$5*ABS(E18)))</f>
        <v>0.03</v>
      </c>
      <c r="J18" s="44"/>
      <c r="K18" s="19" t="str">
        <f aca="false">IF(J18="","",J18-E18)</f>
        <v/>
      </c>
      <c r="L18" s="17" t="str">
        <f aca="false">IF(J18="",$E$4,IF(ABS(J18-E18)&lt;=G18+0.0000001,$E$5,IF(ABS(J18-E18)&lt;=I18,$E$6,$E$7)))</f>
        <v>offen</v>
      </c>
    </row>
    <row r="19" customFormat="false" ht="23.85" hidden="false" customHeight="false" outlineLevel="0" collapsed="false">
      <c r="A19" s="6" t="s">
        <v>887</v>
      </c>
      <c r="B19" s="6" t="s">
        <v>869</v>
      </c>
      <c r="C19" s="6" t="s">
        <v>870</v>
      </c>
      <c r="D19" s="6" t="s">
        <v>888</v>
      </c>
      <c r="E19" s="27" t="n">
        <f aca="false">CMO_Tab1!B7</f>
        <v>0.36</v>
      </c>
      <c r="F19" s="25" t="n">
        <v>2</v>
      </c>
      <c r="G19" s="19" t="n">
        <f aca="false">0.5*10^(-F19)</f>
        <v>0.005</v>
      </c>
      <c r="H19" s="6" t="s">
        <v>872</v>
      </c>
      <c r="I19" s="19" t="n">
        <f aca="false">IF(H19="Anteil",$C$4,IF(H19="Zählwert",MAX($C$6,$C$5*ABS(E19)),$C$5*ABS(E19)))</f>
        <v>0.03</v>
      </c>
      <c r="J19" s="44"/>
      <c r="K19" s="19" t="str">
        <f aca="false">IF(J19="","",J19-E19)</f>
        <v/>
      </c>
      <c r="L19" s="17" t="str">
        <f aca="false">IF(J19="",$E$4,IF(ABS(J19-E19)&lt;=G19+0.0000001,$E$5,IF(ABS(J19-E19)&lt;=I19,$E$6,$E$7)))</f>
        <v>offen</v>
      </c>
    </row>
    <row r="20" customFormat="false" ht="23.85" hidden="false" customHeight="false" outlineLevel="0" collapsed="false">
      <c r="A20" s="6" t="s">
        <v>889</v>
      </c>
      <c r="B20" s="6" t="s">
        <v>869</v>
      </c>
      <c r="C20" s="6" t="s">
        <v>870</v>
      </c>
      <c r="D20" s="6" t="s">
        <v>890</v>
      </c>
      <c r="E20" s="27" t="n">
        <f aca="false">CMO_Tab1!C7</f>
        <v>0.35</v>
      </c>
      <c r="F20" s="25" t="n">
        <v>2</v>
      </c>
      <c r="G20" s="19" t="n">
        <f aca="false">0.5*10^(-F20)</f>
        <v>0.005</v>
      </c>
      <c r="H20" s="6" t="s">
        <v>872</v>
      </c>
      <c r="I20" s="19" t="n">
        <f aca="false">IF(H20="Anteil",$C$4,IF(H20="Zählwert",MAX($C$6,$C$5*ABS(E20)),$C$5*ABS(E20)))</f>
        <v>0.03</v>
      </c>
      <c r="J20" s="44"/>
      <c r="K20" s="19" t="str">
        <f aca="false">IF(J20="","",J20-E20)</f>
        <v/>
      </c>
      <c r="L20" s="17" t="str">
        <f aca="false">IF(J20="",$E$4,IF(ABS(J20-E20)&lt;=G20+0.0000001,$E$5,IF(ABS(J20-E20)&lt;=I20,$E$6,$E$7)))</f>
        <v>offen</v>
      </c>
    </row>
    <row r="21" customFormat="false" ht="23.85" hidden="false" customHeight="false" outlineLevel="0" collapsed="false">
      <c r="A21" s="6" t="s">
        <v>891</v>
      </c>
      <c r="B21" s="6" t="s">
        <v>869</v>
      </c>
      <c r="C21" s="6" t="s">
        <v>870</v>
      </c>
      <c r="D21" s="6" t="s">
        <v>892</v>
      </c>
      <c r="E21" s="27" t="n">
        <f aca="false">CMO_Tab1!D7</f>
        <v>0.23</v>
      </c>
      <c r="F21" s="25" t="n">
        <v>2</v>
      </c>
      <c r="G21" s="19" t="n">
        <f aca="false">0.5*10^(-F21)</f>
        <v>0.005</v>
      </c>
      <c r="H21" s="6" t="s">
        <v>872</v>
      </c>
      <c r="I21" s="19" t="n">
        <f aca="false">IF(H21="Anteil",$C$4,IF(H21="Zählwert",MAX($C$6,$C$5*ABS(E21)),$C$5*ABS(E21)))</f>
        <v>0.03</v>
      </c>
      <c r="J21" s="44"/>
      <c r="K21" s="19" t="str">
        <f aca="false">IF(J21="","",J21-E21)</f>
        <v/>
      </c>
      <c r="L21" s="17" t="str">
        <f aca="false">IF(J21="",$E$4,IF(ABS(J21-E21)&lt;=G21+0.0000001,$E$5,IF(ABS(J21-E21)&lt;=I21,$E$6,$E$7)))</f>
        <v>offen</v>
      </c>
    </row>
    <row r="22" customFormat="false" ht="23.85" hidden="false" customHeight="false" outlineLevel="0" collapsed="false">
      <c r="A22" s="6" t="s">
        <v>893</v>
      </c>
      <c r="B22" s="6" t="s">
        <v>869</v>
      </c>
      <c r="C22" s="6" t="s">
        <v>870</v>
      </c>
      <c r="D22" s="6" t="s">
        <v>894</v>
      </c>
      <c r="E22" s="27" t="n">
        <f aca="false">CMO_Tab1!E7</f>
        <v>0.5</v>
      </c>
      <c r="F22" s="25" t="n">
        <v>2</v>
      </c>
      <c r="G22" s="19" t="n">
        <f aca="false">0.5*10^(-F22)</f>
        <v>0.005</v>
      </c>
      <c r="H22" s="6" t="s">
        <v>872</v>
      </c>
      <c r="I22" s="19" t="n">
        <f aca="false">IF(H22="Anteil",$C$4,IF(H22="Zählwert",MAX($C$6,$C$5*ABS(E22)),$C$5*ABS(E22)))</f>
        <v>0.03</v>
      </c>
      <c r="J22" s="44"/>
      <c r="K22" s="19" t="str">
        <f aca="false">IF(J22="","",J22-E22)</f>
        <v/>
      </c>
      <c r="L22" s="17" t="str">
        <f aca="false">IF(J22="",$E$4,IF(ABS(J22-E22)&lt;=G22+0.0000001,$E$5,IF(ABS(J22-E22)&lt;=I22,$E$6,$E$7)))</f>
        <v>offen</v>
      </c>
    </row>
    <row r="23" customFormat="false" ht="23.85" hidden="false" customHeight="false" outlineLevel="0" collapsed="false">
      <c r="A23" s="6" t="s">
        <v>895</v>
      </c>
      <c r="B23" s="6" t="s">
        <v>869</v>
      </c>
      <c r="C23" s="6" t="s">
        <v>870</v>
      </c>
      <c r="D23" s="6" t="s">
        <v>896</v>
      </c>
      <c r="E23" s="27" t="n">
        <f aca="false">CMO_Tab1!B8</f>
        <v>0.4</v>
      </c>
      <c r="F23" s="25" t="n">
        <v>2</v>
      </c>
      <c r="G23" s="19" t="n">
        <f aca="false">0.5*10^(-F23)</f>
        <v>0.005</v>
      </c>
      <c r="H23" s="6" t="s">
        <v>872</v>
      </c>
      <c r="I23" s="19" t="n">
        <f aca="false">IF(H23="Anteil",$C$4,IF(H23="Zählwert",MAX($C$6,$C$5*ABS(E23)),$C$5*ABS(E23)))</f>
        <v>0.03</v>
      </c>
      <c r="J23" s="44" t="n">
        <v>0.41</v>
      </c>
      <c r="K23" s="19" t="n">
        <f aca="false">IF(J23="","",J23-E23)</f>
        <v>0.00999999999999995</v>
      </c>
      <c r="L23" s="17" t="str">
        <f aca="false">IF(J23="",$E$4,IF(ABS(J23-E23)&lt;=G23+0.0000001,$E$5,IF(ABS(J23-E23)&lt;=I23,$E$6,$E$7)))</f>
        <v>innerhalb Toleranz</v>
      </c>
    </row>
    <row r="24" customFormat="false" ht="23.85" hidden="false" customHeight="false" outlineLevel="0" collapsed="false">
      <c r="A24" s="6" t="s">
        <v>897</v>
      </c>
      <c r="B24" s="6" t="s">
        <v>869</v>
      </c>
      <c r="C24" s="6" t="s">
        <v>870</v>
      </c>
      <c r="D24" s="6" t="s">
        <v>898</v>
      </c>
      <c r="E24" s="27" t="n">
        <f aca="false">CMO_Tab1!C8</f>
        <v>0.26</v>
      </c>
      <c r="F24" s="25" t="n">
        <v>2</v>
      </c>
      <c r="G24" s="19" t="n">
        <f aca="false">0.5*10^(-F24)</f>
        <v>0.005</v>
      </c>
      <c r="H24" s="6" t="s">
        <v>872</v>
      </c>
      <c r="I24" s="19" t="n">
        <f aca="false">IF(H24="Anteil",$C$4,IF(H24="Zählwert",MAX($C$6,$C$5*ABS(E24)),$C$5*ABS(E24)))</f>
        <v>0.03</v>
      </c>
      <c r="J24" s="44"/>
      <c r="K24" s="19" t="str">
        <f aca="false">IF(J24="","",J24-E24)</f>
        <v/>
      </c>
      <c r="L24" s="17" t="str">
        <f aca="false">IF(J24="",$E$4,IF(ABS(J24-E24)&lt;=G24+0.0000001,$E$5,IF(ABS(J24-E24)&lt;=I24,$E$6,$E$7)))</f>
        <v>offen</v>
      </c>
    </row>
    <row r="25" customFormat="false" ht="23.85" hidden="false" customHeight="false" outlineLevel="0" collapsed="false">
      <c r="A25" s="6" t="s">
        <v>899</v>
      </c>
      <c r="B25" s="6" t="s">
        <v>869</v>
      </c>
      <c r="C25" s="6" t="s">
        <v>870</v>
      </c>
      <c r="D25" s="6" t="s">
        <v>900</v>
      </c>
      <c r="E25" s="27" t="n">
        <f aca="false">CMO_Tab1!D8</f>
        <v>0.37</v>
      </c>
      <c r="F25" s="25" t="n">
        <v>2</v>
      </c>
      <c r="G25" s="19" t="n">
        <f aca="false">0.5*10^(-F25)</f>
        <v>0.005</v>
      </c>
      <c r="H25" s="6" t="s">
        <v>872</v>
      </c>
      <c r="I25" s="19" t="n">
        <f aca="false">IF(H25="Anteil",$C$4,IF(H25="Zählwert",MAX($C$6,$C$5*ABS(E25)),$C$5*ABS(E25)))</f>
        <v>0.03</v>
      </c>
      <c r="J25" s="44"/>
      <c r="K25" s="19" t="str">
        <f aca="false">IF(J25="","",J25-E25)</f>
        <v/>
      </c>
      <c r="L25" s="17" t="str">
        <f aca="false">IF(J25="",$E$4,IF(ABS(J25-E25)&lt;=G25+0.0000001,$E$5,IF(ABS(J25-E25)&lt;=I25,$E$6,$E$7)))</f>
        <v>offen</v>
      </c>
    </row>
    <row r="26" customFormat="false" ht="23.85" hidden="false" customHeight="false" outlineLevel="0" collapsed="false">
      <c r="A26" s="6" t="s">
        <v>901</v>
      </c>
      <c r="B26" s="6" t="s">
        <v>869</v>
      </c>
      <c r="C26" s="6" t="s">
        <v>870</v>
      </c>
      <c r="D26" s="6" t="s">
        <v>902</v>
      </c>
      <c r="E26" s="27" t="n">
        <f aca="false">CMO_Tab1!E8</f>
        <v>0.58</v>
      </c>
      <c r="F26" s="25" t="n">
        <v>2</v>
      </c>
      <c r="G26" s="19" t="n">
        <f aca="false">0.5*10^(-F26)</f>
        <v>0.005</v>
      </c>
      <c r="H26" s="6" t="s">
        <v>872</v>
      </c>
      <c r="I26" s="19" t="n">
        <f aca="false">IF(H26="Anteil",$C$4,IF(H26="Zählwert",MAX($C$6,$C$5*ABS(E26)),$C$5*ABS(E26)))</f>
        <v>0.03</v>
      </c>
      <c r="J26" s="44"/>
      <c r="K26" s="19" t="str">
        <f aca="false">IF(J26="","",J26-E26)</f>
        <v/>
      </c>
      <c r="L26" s="17" t="str">
        <f aca="false">IF(J26="",$E$4,IF(ABS(J26-E26)&lt;=G26+0.0000001,$E$5,IF(ABS(J26-E26)&lt;=I26,$E$6,$E$7)))</f>
        <v>offen</v>
      </c>
    </row>
    <row r="27" customFormat="false" ht="35.05" hidden="false" customHeight="false" outlineLevel="0" collapsed="false">
      <c r="A27" s="6" t="s">
        <v>903</v>
      </c>
      <c r="B27" s="6" t="s">
        <v>904</v>
      </c>
      <c r="C27" s="6" t="s">
        <v>905</v>
      </c>
      <c r="D27" s="6" t="s">
        <v>871</v>
      </c>
      <c r="E27" s="45" t="n">
        <f aca="false">CMO_Tab2!B5</f>
        <v>114.9</v>
      </c>
      <c r="F27" s="25" t="n">
        <v>1</v>
      </c>
      <c r="G27" s="19" t="n">
        <f aca="false">0.5*10^(-F27)</f>
        <v>0.05</v>
      </c>
      <c r="H27" s="6" t="s">
        <v>906</v>
      </c>
      <c r="I27" s="19" t="n">
        <f aca="false">IF(H27="Anteil",$C$4,IF(H27="Zählwert",MAX($C$6,$C$5*ABS(E27)),$C$5*ABS(E27)))</f>
        <v>5.745</v>
      </c>
      <c r="J27" s="44" t="n">
        <v>114.3</v>
      </c>
      <c r="K27" s="19" t="n">
        <f aca="false">IF(J27="","",J27-E27)</f>
        <v>-0.600000000000009</v>
      </c>
      <c r="L27" s="17" t="str">
        <f aca="false">IF(J27="",$E$4,IF(ABS(J27-E27)&lt;=G27+0.0000001,$E$5,IF(ABS(J27-E27)&lt;=I27,$E$6,$E$7)))</f>
        <v>innerhalb Toleranz</v>
      </c>
    </row>
    <row r="28" customFormat="false" ht="23.85" hidden="false" customHeight="false" outlineLevel="0" collapsed="false">
      <c r="A28" s="6" t="s">
        <v>907</v>
      </c>
      <c r="B28" s="6" t="s">
        <v>904</v>
      </c>
      <c r="C28" s="6" t="s">
        <v>908</v>
      </c>
      <c r="D28" s="6" t="s">
        <v>871</v>
      </c>
      <c r="E28" s="45" t="n">
        <f aca="false">CMO_Tab2!C5</f>
        <v>60.9</v>
      </c>
      <c r="F28" s="25" t="n">
        <v>1</v>
      </c>
      <c r="G28" s="19" t="n">
        <f aca="false">0.5*10^(-F28)</f>
        <v>0.05</v>
      </c>
      <c r="H28" s="6" t="s">
        <v>906</v>
      </c>
      <c r="I28" s="19" t="n">
        <f aca="false">IF(H28="Anteil",$C$4,IF(H28="Zählwert",MAX($C$6,$C$5*ABS(E28)),$C$5*ABS(E28)))</f>
        <v>3.045</v>
      </c>
      <c r="J28" s="44" t="n">
        <v>61</v>
      </c>
      <c r="K28" s="19" t="n">
        <f aca="false">IF(J28="","",J28-E28)</f>
        <v>0.100000000000001</v>
      </c>
      <c r="L28" s="17" t="str">
        <f aca="false">IF(J28="",$E$4,IF(ABS(J28-E28)&lt;=G28+0.0000001,$E$5,IF(ABS(J28-E28)&lt;=I28,$E$6,$E$7)))</f>
        <v>innerhalb Toleranz</v>
      </c>
    </row>
    <row r="29" customFormat="false" ht="23.85" hidden="false" customHeight="false" outlineLevel="0" collapsed="false">
      <c r="A29" s="6" t="s">
        <v>909</v>
      </c>
      <c r="B29" s="6" t="s">
        <v>904</v>
      </c>
      <c r="C29" s="6" t="s">
        <v>910</v>
      </c>
      <c r="D29" s="6" t="s">
        <v>871</v>
      </c>
      <c r="E29" s="45" t="n">
        <f aca="false">CMO_Tab2!D5</f>
        <v>19.5</v>
      </c>
      <c r="F29" s="25" t="n">
        <v>1</v>
      </c>
      <c r="G29" s="19" t="n">
        <f aca="false">0.5*10^(-F29)</f>
        <v>0.05</v>
      </c>
      <c r="H29" s="6" t="s">
        <v>906</v>
      </c>
      <c r="I29" s="19" t="n">
        <f aca="false">IF(H29="Anteil",$C$4,IF(H29="Zählwert",MAX($C$6,$C$5*ABS(E29)),$C$5*ABS(E29)))</f>
        <v>0.975</v>
      </c>
      <c r="J29" s="44" t="n">
        <v>19.5</v>
      </c>
      <c r="K29" s="19" t="n">
        <f aca="false">IF(J29="","",J29-E29)</f>
        <v>0</v>
      </c>
      <c r="L29" s="17" t="str">
        <f aca="false">IF(J29="",$E$4,IF(ABS(J29-E29)&lt;=G29+0.0000001,$E$5,IF(ABS(J29-E29)&lt;=I29,$E$6,$E$7)))</f>
        <v>identisch im Rahmen der Rundung</v>
      </c>
    </row>
    <row r="30" customFormat="false" ht="23.85" hidden="false" customHeight="false" outlineLevel="0" collapsed="false">
      <c r="A30" s="6" t="s">
        <v>911</v>
      </c>
      <c r="B30" s="6" t="s">
        <v>904</v>
      </c>
      <c r="C30" s="6" t="s">
        <v>912</v>
      </c>
      <c r="D30" s="6" t="s">
        <v>871</v>
      </c>
      <c r="E30" s="27" t="n">
        <f aca="false">CMO_Tab2!E5</f>
        <v>0.45</v>
      </c>
      <c r="F30" s="25" t="n">
        <v>2</v>
      </c>
      <c r="G30" s="19" t="n">
        <f aca="false">0.5*10^(-F30)</f>
        <v>0.005</v>
      </c>
      <c r="H30" s="6" t="s">
        <v>872</v>
      </c>
      <c r="I30" s="19" t="n">
        <f aca="false">IF(H30="Anteil",$C$4,IF(H30="Zählwert",MAX($C$6,$C$5*ABS(E30)),$C$5*ABS(E30)))</f>
        <v>0.03</v>
      </c>
      <c r="J30" s="44" t="n">
        <v>0.47</v>
      </c>
      <c r="K30" s="19" t="n">
        <f aca="false">IF(J30="","",J30-E30)</f>
        <v>0.02</v>
      </c>
      <c r="L30" s="17" t="str">
        <f aca="false">IF(J30="",$E$4,IF(ABS(J30-E30)&lt;=G30+0.0000001,$E$5,IF(ABS(J30-E30)&lt;=I30,$E$6,$E$7)))</f>
        <v>innerhalb Toleranz</v>
      </c>
    </row>
    <row r="31" customFormat="false" ht="35.05" hidden="false" customHeight="false" outlineLevel="0" collapsed="false">
      <c r="A31" s="6" t="s">
        <v>913</v>
      </c>
      <c r="B31" s="6" t="s">
        <v>904</v>
      </c>
      <c r="C31" s="6" t="s">
        <v>905</v>
      </c>
      <c r="D31" s="6" t="s">
        <v>880</v>
      </c>
      <c r="E31" s="45" t="n">
        <f aca="false">CMO_Tab2!B6</f>
        <v>204.3</v>
      </c>
      <c r="F31" s="25" t="n">
        <v>1</v>
      </c>
      <c r="G31" s="19" t="n">
        <f aca="false">0.5*10^(-F31)</f>
        <v>0.05</v>
      </c>
      <c r="H31" s="6" t="s">
        <v>906</v>
      </c>
      <c r="I31" s="19" t="n">
        <f aca="false">IF(H31="Anteil",$C$4,IF(H31="Zählwert",MAX($C$6,$C$5*ABS(E31)),$C$5*ABS(E31)))</f>
        <v>10.215</v>
      </c>
      <c r="J31" s="44" t="n">
        <v>200.2</v>
      </c>
      <c r="K31" s="19" t="n">
        <f aca="false">IF(J31="","",J31-E31)</f>
        <v>-4.10000000000002</v>
      </c>
      <c r="L31" s="17" t="str">
        <f aca="false">IF(J31="",$E$4,IF(ABS(J31-E31)&lt;=G31+0.0000001,$E$5,IF(ABS(J31-E31)&lt;=I31,$E$6,$E$7)))</f>
        <v>innerhalb Toleranz</v>
      </c>
    </row>
    <row r="32" customFormat="false" ht="23.85" hidden="false" customHeight="false" outlineLevel="0" collapsed="false">
      <c r="A32" s="6" t="s">
        <v>914</v>
      </c>
      <c r="B32" s="6" t="s">
        <v>904</v>
      </c>
      <c r="C32" s="6" t="s">
        <v>908</v>
      </c>
      <c r="D32" s="6" t="s">
        <v>880</v>
      </c>
      <c r="E32" s="45" t="n">
        <f aca="false">CMO_Tab2!C6</f>
        <v>63.8</v>
      </c>
      <c r="F32" s="25" t="n">
        <v>1</v>
      </c>
      <c r="G32" s="19" t="n">
        <f aca="false">0.5*10^(-F32)</f>
        <v>0.05</v>
      </c>
      <c r="H32" s="6" t="s">
        <v>906</v>
      </c>
      <c r="I32" s="19" t="n">
        <f aca="false">IF(H32="Anteil",$C$4,IF(H32="Zählwert",MAX($C$6,$C$5*ABS(E32)),$C$5*ABS(E32)))</f>
        <v>3.19</v>
      </c>
      <c r="J32" s="44" t="n">
        <v>66</v>
      </c>
      <c r="K32" s="19" t="n">
        <f aca="false">IF(J32="","",J32-E32)</f>
        <v>2.2</v>
      </c>
      <c r="L32" s="17" t="str">
        <f aca="false">IF(J32="",$E$4,IF(ABS(J32-E32)&lt;=G32+0.0000001,$E$5,IF(ABS(J32-E32)&lt;=I32,$E$6,$E$7)))</f>
        <v>innerhalb Toleranz</v>
      </c>
    </row>
    <row r="33" customFormat="false" ht="23.85" hidden="false" customHeight="false" outlineLevel="0" collapsed="false">
      <c r="A33" s="6" t="s">
        <v>915</v>
      </c>
      <c r="B33" s="6" t="s">
        <v>904</v>
      </c>
      <c r="C33" s="6" t="s">
        <v>910</v>
      </c>
      <c r="D33" s="6" t="s">
        <v>880</v>
      </c>
      <c r="E33" s="45" t="n">
        <f aca="false">CMO_Tab2!D6</f>
        <v>32.9</v>
      </c>
      <c r="F33" s="25" t="n">
        <v>1</v>
      </c>
      <c r="G33" s="19" t="n">
        <f aca="false">0.5*10^(-F33)</f>
        <v>0.05</v>
      </c>
      <c r="H33" s="6" t="s">
        <v>906</v>
      </c>
      <c r="I33" s="19" t="n">
        <f aca="false">IF(H33="Anteil",$C$4,IF(H33="Zählwert",MAX($C$6,$C$5*ABS(E33)),$C$5*ABS(E33)))</f>
        <v>1.645</v>
      </c>
      <c r="J33" s="44" t="n">
        <v>34.1</v>
      </c>
      <c r="K33" s="19" t="n">
        <f aca="false">IF(J33="","",J33-E33)</f>
        <v>1.2</v>
      </c>
      <c r="L33" s="17" t="str">
        <f aca="false">IF(J33="",$E$4,IF(ABS(J33-E33)&lt;=G33+0.0000001,$E$5,IF(ABS(J33-E33)&lt;=I33,$E$6,$E$7)))</f>
        <v>innerhalb Toleranz</v>
      </c>
    </row>
    <row r="34" customFormat="false" ht="23.85" hidden="false" customHeight="false" outlineLevel="0" collapsed="false">
      <c r="A34" s="6" t="s">
        <v>916</v>
      </c>
      <c r="B34" s="6" t="s">
        <v>904</v>
      </c>
      <c r="C34" s="6" t="s">
        <v>912</v>
      </c>
      <c r="D34" s="6" t="s">
        <v>880</v>
      </c>
      <c r="E34" s="27" t="n">
        <f aca="false">CMO_Tab2!E6</f>
        <v>0.7</v>
      </c>
      <c r="F34" s="25" t="n">
        <v>2</v>
      </c>
      <c r="G34" s="19" t="n">
        <f aca="false">0.5*10^(-F34)</f>
        <v>0.005</v>
      </c>
      <c r="H34" s="6" t="s">
        <v>872</v>
      </c>
      <c r="I34" s="19" t="n">
        <f aca="false">IF(H34="Anteil",$C$4,IF(H34="Zählwert",MAX($C$6,$C$5*ABS(E34)),$C$5*ABS(E34)))</f>
        <v>0.03</v>
      </c>
      <c r="J34" s="44" t="n">
        <v>0.68</v>
      </c>
      <c r="K34" s="19" t="n">
        <f aca="false">IF(J34="","",J34-E34)</f>
        <v>-0.0199999999999999</v>
      </c>
      <c r="L34" s="17" t="str">
        <f aca="false">IF(J34="",$E$4,IF(ABS(J34-E34)&lt;=G34+0.0000001,$E$5,IF(ABS(J34-E34)&lt;=I34,$E$6,$E$7)))</f>
        <v>innerhalb Toleranz</v>
      </c>
    </row>
    <row r="35" customFormat="false" ht="35.05" hidden="false" customHeight="false" outlineLevel="0" collapsed="false">
      <c r="A35" s="6" t="s">
        <v>917</v>
      </c>
      <c r="B35" s="6" t="s">
        <v>904</v>
      </c>
      <c r="C35" s="6" t="s">
        <v>905</v>
      </c>
      <c r="D35" s="6" t="s">
        <v>888</v>
      </c>
      <c r="E35" s="45" t="n">
        <f aca="false">CMO_Tab2!B7</f>
        <v>211.1</v>
      </c>
      <c r="F35" s="25" t="n">
        <v>1</v>
      </c>
      <c r="G35" s="19" t="n">
        <f aca="false">0.5*10^(-F35)</f>
        <v>0.05</v>
      </c>
      <c r="H35" s="6" t="s">
        <v>906</v>
      </c>
      <c r="I35" s="19" t="n">
        <f aca="false">IF(H35="Anteil",$C$4,IF(H35="Zählwert",MAX($C$6,$C$5*ABS(E35)),$C$5*ABS(E35)))</f>
        <v>10.555</v>
      </c>
      <c r="J35" s="44" t="n">
        <v>208.8</v>
      </c>
      <c r="K35" s="19" t="n">
        <f aca="false">IF(J35="","",J35-E35)</f>
        <v>-2.29999999999998</v>
      </c>
      <c r="L35" s="17" t="str">
        <f aca="false">IF(J35="",$E$4,IF(ABS(J35-E35)&lt;=G35+0.0000001,$E$5,IF(ABS(J35-E35)&lt;=I35,$E$6,$E$7)))</f>
        <v>innerhalb Toleranz</v>
      </c>
    </row>
    <row r="36" customFormat="false" ht="23.85" hidden="false" customHeight="false" outlineLevel="0" collapsed="false">
      <c r="A36" s="6" t="s">
        <v>918</v>
      </c>
      <c r="B36" s="6" t="s">
        <v>904</v>
      </c>
      <c r="C36" s="6" t="s">
        <v>908</v>
      </c>
      <c r="D36" s="6" t="s">
        <v>888</v>
      </c>
      <c r="E36" s="45" t="n">
        <f aca="false">CMO_Tab2!C7</f>
        <v>76.6</v>
      </c>
      <c r="F36" s="25" t="n">
        <v>1</v>
      </c>
      <c r="G36" s="19" t="n">
        <f aca="false">0.5*10^(-F36)</f>
        <v>0.05</v>
      </c>
      <c r="H36" s="6" t="s">
        <v>906</v>
      </c>
      <c r="I36" s="19" t="n">
        <f aca="false">IF(H36="Anteil",$C$4,IF(H36="Zählwert",MAX($C$6,$C$5*ABS(E36)),$C$5*ABS(E36)))</f>
        <v>3.83</v>
      </c>
      <c r="J36" s="44" t="n">
        <v>76.9</v>
      </c>
      <c r="K36" s="19" t="n">
        <f aca="false">IF(J36="","",J36-E36)</f>
        <v>0.300000000000011</v>
      </c>
      <c r="L36" s="17" t="str">
        <f aca="false">IF(J36="",$E$4,IF(ABS(J36-E36)&lt;=G36+0.0000001,$E$5,IF(ABS(J36-E36)&lt;=I36,$E$6,$E$7)))</f>
        <v>innerhalb Toleranz</v>
      </c>
    </row>
    <row r="37" customFormat="false" ht="23.85" hidden="false" customHeight="false" outlineLevel="0" collapsed="false">
      <c r="A37" s="6" t="s">
        <v>919</v>
      </c>
      <c r="B37" s="6" t="s">
        <v>904</v>
      </c>
      <c r="C37" s="6" t="s">
        <v>910</v>
      </c>
      <c r="D37" s="6" t="s">
        <v>888</v>
      </c>
      <c r="E37" s="45" t="n">
        <f aca="false">CMO_Tab2!D7</f>
        <v>46.1</v>
      </c>
      <c r="F37" s="25" t="n">
        <v>1</v>
      </c>
      <c r="G37" s="19" t="n">
        <f aca="false">0.5*10^(-F37)</f>
        <v>0.05</v>
      </c>
      <c r="H37" s="6" t="s">
        <v>906</v>
      </c>
      <c r="I37" s="19" t="n">
        <f aca="false">IF(H37="Anteil",$C$4,IF(H37="Zählwert",MAX($C$6,$C$5*ABS(E37)),$C$5*ABS(E37)))</f>
        <v>2.305</v>
      </c>
      <c r="J37" s="44" t="n">
        <v>46.1</v>
      </c>
      <c r="K37" s="19" t="n">
        <f aca="false">IF(J37="","",J37-E37)</f>
        <v>0</v>
      </c>
      <c r="L37" s="17" t="str">
        <f aca="false">IF(J37="",$E$4,IF(ABS(J37-E37)&lt;=G37+0.0000001,$E$5,IF(ABS(J37-E37)&lt;=I37,$E$6,$E$7)))</f>
        <v>identisch im Rahmen der Rundung</v>
      </c>
    </row>
    <row r="38" customFormat="false" ht="23.85" hidden="false" customHeight="false" outlineLevel="0" collapsed="false">
      <c r="A38" s="6" t="s">
        <v>920</v>
      </c>
      <c r="B38" s="6" t="s">
        <v>904</v>
      </c>
      <c r="C38" s="6" t="s">
        <v>912</v>
      </c>
      <c r="D38" s="6" t="s">
        <v>888</v>
      </c>
      <c r="E38" s="27" t="n">
        <f aca="false">CMO_Tab2!E7</f>
        <v>0.64</v>
      </c>
      <c r="F38" s="25" t="n">
        <v>2</v>
      </c>
      <c r="G38" s="19" t="n">
        <f aca="false">0.5*10^(-F38)</f>
        <v>0.005</v>
      </c>
      <c r="H38" s="6" t="s">
        <v>872</v>
      </c>
      <c r="I38" s="19" t="n">
        <f aca="false">IF(H38="Anteil",$C$4,IF(H38="Zählwert",MAX($C$6,$C$5*ABS(E38)),$C$5*ABS(E38)))</f>
        <v>0.03</v>
      </c>
      <c r="J38" s="44" t="n">
        <v>0.62</v>
      </c>
      <c r="K38" s="19" t="n">
        <f aca="false">IF(J38="","",J38-E38)</f>
        <v>-0.02</v>
      </c>
      <c r="L38" s="17" t="str">
        <f aca="false">IF(J38="",$E$4,IF(ABS(J38-E38)&lt;=G38+0.0000001,$E$5,IF(ABS(J38-E38)&lt;=I38,$E$6,$E$7)))</f>
        <v>innerhalb Toleranz</v>
      </c>
    </row>
    <row r="39" customFormat="false" ht="35.05" hidden="false" customHeight="false" outlineLevel="0" collapsed="false">
      <c r="A39" s="6" t="s">
        <v>921</v>
      </c>
      <c r="B39" s="6" t="s">
        <v>922</v>
      </c>
      <c r="C39" s="6" t="s">
        <v>923</v>
      </c>
      <c r="D39" s="6" t="s">
        <v>924</v>
      </c>
      <c r="E39" s="27" t="n">
        <f aca="false">CMO_Tab3_Tab4!B6</f>
        <v>0.46</v>
      </c>
      <c r="F39" s="25" t="n">
        <v>2</v>
      </c>
      <c r="G39" s="19" t="n">
        <f aca="false">0.5*10^(-F39)</f>
        <v>0.005</v>
      </c>
      <c r="H39" s="6" t="s">
        <v>872</v>
      </c>
      <c r="I39" s="19" t="n">
        <f aca="false">IF(H39="Anteil",$C$4,IF(H39="Zählwert",MAX($C$6,$C$5*ABS(E39)),$C$5*ABS(E39)))</f>
        <v>0.03</v>
      </c>
      <c r="J39" s="44"/>
      <c r="K39" s="19" t="str">
        <f aca="false">IF(J39="","",J39-E39)</f>
        <v/>
      </c>
      <c r="L39" s="17" t="str">
        <f aca="false">IF(J39="",$E$4,IF(ABS(J39-E39)&lt;=G39+0.0000001,$E$5,IF(ABS(J39-E39)&lt;=I39,$E$6,$E$7)))</f>
        <v>offen</v>
      </c>
    </row>
    <row r="40" customFormat="false" ht="35.05" hidden="false" customHeight="false" outlineLevel="0" collapsed="false">
      <c r="A40" s="6" t="s">
        <v>925</v>
      </c>
      <c r="B40" s="6" t="s">
        <v>922</v>
      </c>
      <c r="C40" s="6" t="s">
        <v>923</v>
      </c>
      <c r="D40" s="6" t="s">
        <v>926</v>
      </c>
      <c r="E40" s="27" t="n">
        <f aca="false">CMO_Tab3_Tab4!C6</f>
        <v>0.44</v>
      </c>
      <c r="F40" s="25" t="n">
        <v>2</v>
      </c>
      <c r="G40" s="19" t="n">
        <f aca="false">0.5*10^(-F40)</f>
        <v>0.005</v>
      </c>
      <c r="H40" s="6" t="s">
        <v>872</v>
      </c>
      <c r="I40" s="19" t="n">
        <f aca="false">IF(H40="Anteil",$C$4,IF(H40="Zählwert",MAX($C$6,$C$5*ABS(E40)),$C$5*ABS(E40)))</f>
        <v>0.03</v>
      </c>
      <c r="J40" s="44"/>
      <c r="K40" s="19" t="str">
        <f aca="false">IF(J40="","",J40-E40)</f>
        <v/>
      </c>
      <c r="L40" s="17" t="str">
        <f aca="false">IF(J40="",$E$4,IF(ABS(J40-E40)&lt;=G40+0.0000001,$E$5,IF(ABS(J40-E40)&lt;=I40,$E$6,$E$7)))</f>
        <v>offen</v>
      </c>
    </row>
    <row r="41" customFormat="false" ht="46.25" hidden="false" customHeight="false" outlineLevel="0" collapsed="false">
      <c r="A41" s="6" t="s">
        <v>927</v>
      </c>
      <c r="B41" s="6" t="s">
        <v>922</v>
      </c>
      <c r="C41" s="6" t="s">
        <v>923</v>
      </c>
      <c r="D41" s="6" t="s">
        <v>928</v>
      </c>
      <c r="E41" s="27" t="n">
        <f aca="false">CMO_Tab3_Tab4!B7</f>
        <v>0.48</v>
      </c>
      <c r="F41" s="25" t="n">
        <v>2</v>
      </c>
      <c r="G41" s="19" t="n">
        <f aca="false">0.5*10^(-F41)</f>
        <v>0.005</v>
      </c>
      <c r="H41" s="6" t="s">
        <v>872</v>
      </c>
      <c r="I41" s="19" t="n">
        <f aca="false">IF(H41="Anteil",$C$4,IF(H41="Zählwert",MAX($C$6,$C$5*ABS(E41)),$C$5*ABS(E41)))</f>
        <v>0.03</v>
      </c>
      <c r="J41" s="44"/>
      <c r="K41" s="19" t="str">
        <f aca="false">IF(J41="","",J41-E41)</f>
        <v/>
      </c>
      <c r="L41" s="17" t="str">
        <f aca="false">IF(J41="",$E$4,IF(ABS(J41-E41)&lt;=G41+0.0000001,$E$5,IF(ABS(J41-E41)&lt;=I41,$E$6,$E$7)))</f>
        <v>offen</v>
      </c>
    </row>
    <row r="42" customFormat="false" ht="46.25" hidden="false" customHeight="false" outlineLevel="0" collapsed="false">
      <c r="A42" s="6" t="s">
        <v>929</v>
      </c>
      <c r="B42" s="6" t="s">
        <v>922</v>
      </c>
      <c r="C42" s="6" t="s">
        <v>923</v>
      </c>
      <c r="D42" s="6" t="s">
        <v>930</v>
      </c>
      <c r="E42" s="27" t="n">
        <f aca="false">CMO_Tab3_Tab4!C7</f>
        <v>0.25</v>
      </c>
      <c r="F42" s="25" t="n">
        <v>2</v>
      </c>
      <c r="G42" s="19" t="n">
        <f aca="false">0.5*10^(-F42)</f>
        <v>0.005</v>
      </c>
      <c r="H42" s="6" t="s">
        <v>872</v>
      </c>
      <c r="I42" s="19" t="n">
        <f aca="false">IF(H42="Anteil",$C$4,IF(H42="Zählwert",MAX($C$6,$C$5*ABS(E42)),$C$5*ABS(E42)))</f>
        <v>0.03</v>
      </c>
      <c r="J42" s="44"/>
      <c r="K42" s="19" t="str">
        <f aca="false">IF(J42="","",J42-E42)</f>
        <v/>
      </c>
      <c r="L42" s="17" t="str">
        <f aca="false">IF(J42="",$E$4,IF(ABS(J42-E42)&lt;=G42+0.0000001,$E$5,IF(ABS(J42-E42)&lt;=I42,$E$6,$E$7)))</f>
        <v>offen</v>
      </c>
    </row>
    <row r="43" customFormat="false" ht="57.45" hidden="false" customHeight="false" outlineLevel="0" collapsed="false">
      <c r="A43" s="6" t="s">
        <v>931</v>
      </c>
      <c r="B43" s="6" t="s">
        <v>932</v>
      </c>
      <c r="C43" s="6" t="s">
        <v>933</v>
      </c>
      <c r="D43" s="6" t="s">
        <v>934</v>
      </c>
      <c r="E43" s="27" t="n">
        <f aca="false">CMO_Tab3_Tab4!B16</f>
        <v>0.86</v>
      </c>
      <c r="F43" s="25" t="n">
        <v>2</v>
      </c>
      <c r="G43" s="19" t="n">
        <f aca="false">0.5*10^(-F43)</f>
        <v>0.005</v>
      </c>
      <c r="H43" s="6" t="s">
        <v>872</v>
      </c>
      <c r="I43" s="19" t="n">
        <f aca="false">IF(H43="Anteil",$C$4,IF(H43="Zählwert",MAX($C$6,$C$5*ABS(E43)),$C$5*ABS(E43)))</f>
        <v>0.03</v>
      </c>
      <c r="J43" s="44"/>
      <c r="K43" s="19" t="str">
        <f aca="false">IF(J43="","",J43-E43)</f>
        <v/>
      </c>
      <c r="L43" s="17" t="str">
        <f aca="false">IF(J43="",$E$4,IF(ABS(J43-E43)&lt;=G43+0.0000001,$E$5,IF(ABS(J43-E43)&lt;=I43,$E$6,$E$7)))</f>
        <v>offen</v>
      </c>
    </row>
    <row r="44" customFormat="false" ht="57.45" hidden="false" customHeight="false" outlineLevel="0" collapsed="false">
      <c r="A44" s="6" t="s">
        <v>935</v>
      </c>
      <c r="B44" s="6" t="s">
        <v>932</v>
      </c>
      <c r="C44" s="6" t="s">
        <v>933</v>
      </c>
      <c r="D44" s="6" t="s">
        <v>936</v>
      </c>
      <c r="E44" s="27" t="n">
        <f aca="false">CMO_Tab3_Tab4!C16</f>
        <v>0.65</v>
      </c>
      <c r="F44" s="25" t="n">
        <v>2</v>
      </c>
      <c r="G44" s="19" t="n">
        <f aca="false">0.5*10^(-F44)</f>
        <v>0.005</v>
      </c>
      <c r="H44" s="6" t="s">
        <v>872</v>
      </c>
      <c r="I44" s="19" t="n">
        <f aca="false">IF(H44="Anteil",$C$4,IF(H44="Zählwert",MAX($C$6,$C$5*ABS(E44)),$C$5*ABS(E44)))</f>
        <v>0.03</v>
      </c>
      <c r="J44" s="44"/>
      <c r="K44" s="19" t="str">
        <f aca="false">IF(J44="","",J44-E44)</f>
        <v/>
      </c>
      <c r="L44" s="17" t="str">
        <f aca="false">IF(J44="",$E$4,IF(ABS(J44-E44)&lt;=G44+0.0000001,$E$5,IF(ABS(J44-E44)&lt;=I44,$E$6,$E$7)))</f>
        <v>offen</v>
      </c>
    </row>
    <row r="45" customFormat="false" ht="57.45" hidden="false" customHeight="false" outlineLevel="0" collapsed="false">
      <c r="A45" s="6" t="s">
        <v>937</v>
      </c>
      <c r="B45" s="6" t="s">
        <v>932</v>
      </c>
      <c r="C45" s="6" t="s">
        <v>933</v>
      </c>
      <c r="D45" s="6" t="s">
        <v>938</v>
      </c>
      <c r="E45" s="27" t="n">
        <f aca="false">CMO_Tab3_Tab4!B17</f>
        <v>0.54</v>
      </c>
      <c r="F45" s="25" t="n">
        <v>2</v>
      </c>
      <c r="G45" s="19" t="n">
        <f aca="false">0.5*10^(-F45)</f>
        <v>0.005</v>
      </c>
      <c r="H45" s="6" t="s">
        <v>872</v>
      </c>
      <c r="I45" s="19" t="n">
        <f aca="false">IF(H45="Anteil",$C$4,IF(H45="Zählwert",MAX($C$6,$C$5*ABS(E45)),$C$5*ABS(E45)))</f>
        <v>0.03</v>
      </c>
      <c r="J45" s="44"/>
      <c r="K45" s="19" t="str">
        <f aca="false">IF(J45="","",J45-E45)</f>
        <v/>
      </c>
      <c r="L45" s="17" t="str">
        <f aca="false">IF(J45="",$E$4,IF(ABS(J45-E45)&lt;=G45+0.0000001,$E$5,IF(ABS(J45-E45)&lt;=I45,$E$6,$E$7)))</f>
        <v>offen</v>
      </c>
    </row>
    <row r="46" customFormat="false" ht="57.45" hidden="false" customHeight="false" outlineLevel="0" collapsed="false">
      <c r="A46" s="6" t="s">
        <v>939</v>
      </c>
      <c r="B46" s="6" t="s">
        <v>932</v>
      </c>
      <c r="C46" s="6" t="s">
        <v>933</v>
      </c>
      <c r="D46" s="6" t="s">
        <v>940</v>
      </c>
      <c r="E46" s="27" t="n">
        <f aca="false">CMO_Tab3_Tab4!C17</f>
        <v>0.6</v>
      </c>
      <c r="F46" s="25" t="n">
        <v>2</v>
      </c>
      <c r="G46" s="19" t="n">
        <f aca="false">0.5*10^(-F46)</f>
        <v>0.005</v>
      </c>
      <c r="H46" s="6" t="s">
        <v>872</v>
      </c>
      <c r="I46" s="19" t="n">
        <f aca="false">IF(H46="Anteil",$C$4,IF(H46="Zählwert",MAX($C$6,$C$5*ABS(E46)),$C$5*ABS(E46)))</f>
        <v>0.03</v>
      </c>
      <c r="J46" s="44"/>
      <c r="K46" s="19" t="str">
        <f aca="false">IF(J46="","",J46-E46)</f>
        <v/>
      </c>
      <c r="L46" s="17" t="str">
        <f aca="false">IF(J46="",$E$4,IF(ABS(J46-E46)&lt;=G46+0.0000001,$E$5,IF(ABS(J46-E46)&lt;=I46,$E$6,$E$7)))</f>
        <v>offen</v>
      </c>
    </row>
    <row r="47" customFormat="false" ht="46.25" hidden="false" customHeight="false" outlineLevel="0" collapsed="false">
      <c r="A47" s="6" t="s">
        <v>941</v>
      </c>
      <c r="B47" s="6" t="s">
        <v>942</v>
      </c>
      <c r="C47" s="6" t="s">
        <v>943</v>
      </c>
      <c r="D47" s="6" t="s">
        <v>944</v>
      </c>
      <c r="E47" s="27" t="n">
        <f aca="false">CMO_Tab3_Tab4!B24</f>
        <v>0.14</v>
      </c>
      <c r="F47" s="25" t="n">
        <v>2</v>
      </c>
      <c r="G47" s="19" t="n">
        <f aca="false">0.5*10^(-F47)</f>
        <v>0.005</v>
      </c>
      <c r="H47" s="6" t="s">
        <v>872</v>
      </c>
      <c r="I47" s="19" t="n">
        <f aca="false">IF(H47="Anteil",$C$4,IF(H47="Zählwert",MAX($C$6,$C$5*ABS(E47)),$C$5*ABS(E47)))</f>
        <v>0.03</v>
      </c>
      <c r="J47" s="44"/>
      <c r="K47" s="19" t="str">
        <f aca="false">IF(J47="","",J47-E47)</f>
        <v/>
      </c>
      <c r="L47" s="17" t="str">
        <f aca="false">IF(J47="",$E$4,IF(ABS(J47-E47)&lt;=G47+0.0000001,$E$5,IF(ABS(J47-E47)&lt;=I47,$E$6,$E$7)))</f>
        <v>offen</v>
      </c>
    </row>
    <row r="48" customFormat="false" ht="46.25" hidden="false" customHeight="false" outlineLevel="0" collapsed="false">
      <c r="A48" s="6" t="s">
        <v>945</v>
      </c>
      <c r="B48" s="6" t="s">
        <v>942</v>
      </c>
      <c r="C48" s="6" t="s">
        <v>943</v>
      </c>
      <c r="D48" s="6" t="s">
        <v>946</v>
      </c>
      <c r="E48" s="27" t="n">
        <f aca="false">CMO_Tab3_Tab4!B25</f>
        <v>0.05</v>
      </c>
      <c r="F48" s="25" t="n">
        <v>2</v>
      </c>
      <c r="G48" s="19" t="n">
        <f aca="false">0.5*10^(-F48)</f>
        <v>0.005</v>
      </c>
      <c r="H48" s="6" t="s">
        <v>872</v>
      </c>
      <c r="I48" s="19" t="n">
        <f aca="false">IF(H48="Anteil",$C$4,IF(H48="Zählwert",MAX($C$6,$C$5*ABS(E48)),$C$5*ABS(E48)))</f>
        <v>0.03</v>
      </c>
      <c r="J48" s="44"/>
      <c r="K48" s="19" t="str">
        <f aca="false">IF(J48="","",J48-E48)</f>
        <v/>
      </c>
      <c r="L48" s="17" t="str">
        <f aca="false">IF(J48="",$E$4,IF(ABS(J48-E48)&lt;=G48+0.0000001,$E$5,IF(ABS(J48-E48)&lt;=I48,$E$6,$E$7)))</f>
        <v>offen</v>
      </c>
    </row>
    <row r="49" customFormat="false" ht="46.25" hidden="false" customHeight="false" outlineLevel="0" collapsed="false">
      <c r="A49" s="6" t="s">
        <v>947</v>
      </c>
      <c r="B49" s="6" t="s">
        <v>942</v>
      </c>
      <c r="C49" s="6" t="s">
        <v>943</v>
      </c>
      <c r="D49" s="6" t="s">
        <v>948</v>
      </c>
      <c r="E49" s="27" t="n">
        <f aca="false">CMO_Tab3_Tab4!B26</f>
        <v>0.12</v>
      </c>
      <c r="F49" s="25" t="n">
        <v>2</v>
      </c>
      <c r="G49" s="19" t="n">
        <f aca="false">0.5*10^(-F49)</f>
        <v>0.005</v>
      </c>
      <c r="H49" s="6" t="s">
        <v>872</v>
      </c>
      <c r="I49" s="19" t="n">
        <f aca="false">IF(H49="Anteil",$C$4,IF(H49="Zählwert",MAX($C$6,$C$5*ABS(E49)),$C$5*ABS(E49)))</f>
        <v>0.03</v>
      </c>
      <c r="J49" s="44"/>
      <c r="K49" s="19" t="str">
        <f aca="false">IF(J49="","",J49-E49)</f>
        <v/>
      </c>
      <c r="L49" s="17" t="str">
        <f aca="false">IF(J49="",$E$4,IF(ABS(J49-E49)&lt;=G49+0.0000001,$E$5,IF(ABS(J49-E49)&lt;=I49,$E$6,$E$7)))</f>
        <v>offen</v>
      </c>
    </row>
    <row r="50" customFormat="false" ht="35.05" hidden="false" customHeight="false" outlineLevel="0" collapsed="false">
      <c r="A50" s="6" t="s">
        <v>949</v>
      </c>
      <c r="B50" s="6" t="s">
        <v>950</v>
      </c>
      <c r="C50" s="6" t="s">
        <v>951</v>
      </c>
      <c r="D50" s="6" t="s">
        <v>952</v>
      </c>
      <c r="E50" s="27" t="n">
        <f aca="false">CMO_Tab5!H14</f>
        <v>0.68</v>
      </c>
      <c r="F50" s="25" t="n">
        <v>2</v>
      </c>
      <c r="G50" s="19" t="n">
        <f aca="false">0.5*10^(-F50)</f>
        <v>0.005</v>
      </c>
      <c r="H50" s="6" t="s">
        <v>872</v>
      </c>
      <c r="I50" s="19" t="n">
        <f aca="false">IF(H50="Anteil",$C$4,IF(H50="Zählwert",MAX($C$6,$C$5*ABS(E50)),$C$5*ABS(E50)))</f>
        <v>0.03</v>
      </c>
      <c r="J50" s="44"/>
      <c r="K50" s="19" t="str">
        <f aca="false">IF(J50="","",J50-E50)</f>
        <v/>
      </c>
      <c r="L50" s="17" t="str">
        <f aca="false">IF(J50="",$E$4,IF(ABS(J50-E50)&lt;=G50+0.0000001,$E$5,IF(ABS(J50-E50)&lt;=I50,$E$6,$E$7)))</f>
        <v>offen</v>
      </c>
    </row>
    <row r="51" customFormat="false" ht="35.05" hidden="false" customHeight="false" outlineLevel="0" collapsed="false">
      <c r="A51" s="6" t="s">
        <v>953</v>
      </c>
      <c r="B51" s="6" t="s">
        <v>950</v>
      </c>
      <c r="C51" s="6" t="s">
        <v>356</v>
      </c>
      <c r="D51" s="6" t="s">
        <v>952</v>
      </c>
      <c r="E51" s="26" t="n">
        <f aca="false">CMO_Tab5!I14</f>
        <v>0</v>
      </c>
      <c r="F51" s="25" t="n">
        <v>0</v>
      </c>
      <c r="G51" s="19" t="n">
        <f aca="false">0.5*10^(-F51)</f>
        <v>0.5</v>
      </c>
      <c r="H51" s="6" t="s">
        <v>954</v>
      </c>
      <c r="I51" s="19" t="n">
        <f aca="false">IF(H51="Anteil",$C$4,IF(H51="Zählwert",MAX($C$6,$C$5*ABS(E51)),$C$5*ABS(E51)))</f>
        <v>2</v>
      </c>
      <c r="J51" s="44"/>
      <c r="K51" s="19" t="str">
        <f aca="false">IF(J51="","",J51-E51)</f>
        <v/>
      </c>
      <c r="L51" s="17" t="str">
        <f aca="false">IF(J51="",$E$4,IF(ABS(J51-E51)&lt;=G51+0.0000001,$E$5,IF(ABS(J51-E51)&lt;=I51,$E$6,$E$7)))</f>
        <v>offen</v>
      </c>
    </row>
    <row r="52" customFormat="false" ht="35.05" hidden="false" customHeight="false" outlineLevel="0" collapsed="false">
      <c r="A52" s="6" t="s">
        <v>955</v>
      </c>
      <c r="B52" s="6" t="s">
        <v>950</v>
      </c>
      <c r="C52" s="6" t="s">
        <v>240</v>
      </c>
      <c r="D52" s="6" t="s">
        <v>952</v>
      </c>
      <c r="E52" s="26" t="n">
        <f aca="false">CMO_Tab5!J14</f>
        <v>154</v>
      </c>
      <c r="F52" s="25" t="n">
        <v>0</v>
      </c>
      <c r="G52" s="19" t="n">
        <f aca="false">0.5*10^(-F52)</f>
        <v>0.5</v>
      </c>
      <c r="H52" s="6" t="s">
        <v>954</v>
      </c>
      <c r="I52" s="19" t="n">
        <f aca="false">IF(H52="Anteil",$C$4,IF(H52="Zählwert",MAX($C$6,$C$5*ABS(E52)),$C$5*ABS(E52)))</f>
        <v>7.7</v>
      </c>
      <c r="J52" s="44"/>
      <c r="K52" s="19" t="str">
        <f aca="false">IF(J52="","",J52-E52)</f>
        <v/>
      </c>
      <c r="L52" s="17" t="str">
        <f aca="false">IF(J52="",$E$4,IF(ABS(J52-E52)&lt;=G52+0.0000001,$E$5,IF(ABS(J52-E52)&lt;=I52,$E$6,$E$7)))</f>
        <v>offen</v>
      </c>
    </row>
    <row r="53" customFormat="false" ht="35.05" hidden="false" customHeight="false" outlineLevel="0" collapsed="false">
      <c r="A53" s="6" t="s">
        <v>956</v>
      </c>
      <c r="B53" s="6" t="s">
        <v>950</v>
      </c>
      <c r="C53" s="6" t="s">
        <v>357</v>
      </c>
      <c r="D53" s="6" t="s">
        <v>952</v>
      </c>
      <c r="E53" s="26" t="n">
        <f aca="false">CMO_Tab5!K14</f>
        <v>100</v>
      </c>
      <c r="F53" s="25" t="n">
        <v>0</v>
      </c>
      <c r="G53" s="19" t="n">
        <f aca="false">0.5*10^(-F53)</f>
        <v>0.5</v>
      </c>
      <c r="H53" s="6" t="s">
        <v>954</v>
      </c>
      <c r="I53" s="19" t="n">
        <f aca="false">IF(H53="Anteil",$C$4,IF(H53="Zählwert",MAX($C$6,$C$5*ABS(E53)),$C$5*ABS(E53)))</f>
        <v>5</v>
      </c>
      <c r="J53" s="44"/>
      <c r="K53" s="19" t="str">
        <f aca="false">IF(J53="","",J53-E53)</f>
        <v/>
      </c>
      <c r="L53" s="17" t="str">
        <f aca="false">IF(J53="",$E$4,IF(ABS(J53-E53)&lt;=G53+0.0000001,$E$5,IF(ABS(J53-E53)&lt;=I53,$E$6,$E$7)))</f>
        <v>offen</v>
      </c>
    </row>
    <row r="54" customFormat="false" ht="35.05" hidden="false" customHeight="false" outlineLevel="0" collapsed="false">
      <c r="A54" s="6" t="s">
        <v>957</v>
      </c>
      <c r="B54" s="6" t="s">
        <v>950</v>
      </c>
      <c r="C54" s="6" t="s">
        <v>358</v>
      </c>
      <c r="D54" s="6" t="s">
        <v>952</v>
      </c>
      <c r="E54" s="26" t="n">
        <f aca="false">CMO_Tab5!L14</f>
        <v>0</v>
      </c>
      <c r="F54" s="25" t="n">
        <v>0</v>
      </c>
      <c r="G54" s="19" t="n">
        <f aca="false">0.5*10^(-F54)</f>
        <v>0.5</v>
      </c>
      <c r="H54" s="6" t="s">
        <v>954</v>
      </c>
      <c r="I54" s="19" t="n">
        <f aca="false">IF(H54="Anteil",$C$4,IF(H54="Zählwert",MAX($C$6,$C$5*ABS(E54)),$C$5*ABS(E54)))</f>
        <v>2</v>
      </c>
      <c r="J54" s="44"/>
      <c r="K54" s="19" t="str">
        <f aca="false">IF(J54="","",J54-E54)</f>
        <v/>
      </c>
      <c r="L54" s="17" t="str">
        <f aca="false">IF(J54="",$E$4,IF(ABS(J54-E54)&lt;=G54+0.0000001,$E$5,IF(ABS(J54-E54)&lt;=I54,$E$6,$E$7)))</f>
        <v>offen</v>
      </c>
    </row>
    <row r="55" customFormat="false" ht="35.05" hidden="false" customHeight="false" outlineLevel="0" collapsed="false">
      <c r="A55" s="6" t="s">
        <v>958</v>
      </c>
      <c r="B55" s="6" t="s">
        <v>950</v>
      </c>
      <c r="C55" s="6" t="s">
        <v>951</v>
      </c>
      <c r="D55" s="6" t="s">
        <v>959</v>
      </c>
      <c r="E55" s="27" t="n">
        <f aca="false">CMO_Tab5!H15</f>
        <v>0.21</v>
      </c>
      <c r="F55" s="25" t="n">
        <v>2</v>
      </c>
      <c r="G55" s="19" t="n">
        <f aca="false">0.5*10^(-F55)</f>
        <v>0.005</v>
      </c>
      <c r="H55" s="6" t="s">
        <v>872</v>
      </c>
      <c r="I55" s="19" t="n">
        <f aca="false">IF(H55="Anteil",$C$4,IF(H55="Zählwert",MAX($C$6,$C$5*ABS(E55)),$C$5*ABS(E55)))</f>
        <v>0.03</v>
      </c>
      <c r="J55" s="44"/>
      <c r="K55" s="19" t="str">
        <f aca="false">IF(J55="","",J55-E55)</f>
        <v/>
      </c>
      <c r="L55" s="17" t="str">
        <f aca="false">IF(J55="",$E$4,IF(ABS(J55-E55)&lt;=G55+0.0000001,$E$5,IF(ABS(J55-E55)&lt;=I55,$E$6,$E$7)))</f>
        <v>offen</v>
      </c>
    </row>
    <row r="56" customFormat="false" ht="35.05" hidden="false" customHeight="false" outlineLevel="0" collapsed="false">
      <c r="A56" s="6" t="s">
        <v>960</v>
      </c>
      <c r="B56" s="6" t="s">
        <v>950</v>
      </c>
      <c r="C56" s="6" t="s">
        <v>356</v>
      </c>
      <c r="D56" s="6" t="s">
        <v>959</v>
      </c>
      <c r="E56" s="26" t="n">
        <f aca="false">CMO_Tab5!I15</f>
        <v>210</v>
      </c>
      <c r="F56" s="25" t="n">
        <v>0</v>
      </c>
      <c r="G56" s="19" t="n">
        <f aca="false">0.5*10^(-F56)</f>
        <v>0.5</v>
      </c>
      <c r="H56" s="6" t="s">
        <v>954</v>
      </c>
      <c r="I56" s="19" t="n">
        <f aca="false">IF(H56="Anteil",$C$4,IF(H56="Zählwert",MAX($C$6,$C$5*ABS(E56)),$C$5*ABS(E56)))</f>
        <v>10.5</v>
      </c>
      <c r="J56" s="44"/>
      <c r="K56" s="19" t="str">
        <f aca="false">IF(J56="","",J56-E56)</f>
        <v/>
      </c>
      <c r="L56" s="17" t="str">
        <f aca="false">IF(J56="",$E$4,IF(ABS(J56-E56)&lt;=G56+0.0000001,$E$5,IF(ABS(J56-E56)&lt;=I56,$E$6,$E$7)))</f>
        <v>offen</v>
      </c>
    </row>
    <row r="57" customFormat="false" ht="35.05" hidden="false" customHeight="false" outlineLevel="0" collapsed="false">
      <c r="A57" s="6" t="s">
        <v>961</v>
      </c>
      <c r="B57" s="6" t="s">
        <v>950</v>
      </c>
      <c r="C57" s="6" t="s">
        <v>240</v>
      </c>
      <c r="D57" s="6" t="s">
        <v>959</v>
      </c>
      <c r="E57" s="26" t="n">
        <f aca="false">CMO_Tab5!J15</f>
        <v>23</v>
      </c>
      <c r="F57" s="25" t="n">
        <v>0</v>
      </c>
      <c r="G57" s="19" t="n">
        <f aca="false">0.5*10^(-F57)</f>
        <v>0.5</v>
      </c>
      <c r="H57" s="6" t="s">
        <v>954</v>
      </c>
      <c r="I57" s="19" t="n">
        <f aca="false">IF(H57="Anteil",$C$4,IF(H57="Zählwert",MAX($C$6,$C$5*ABS(E57)),$C$5*ABS(E57)))</f>
        <v>2</v>
      </c>
      <c r="J57" s="44"/>
      <c r="K57" s="19" t="str">
        <f aca="false">IF(J57="","",J57-E57)</f>
        <v/>
      </c>
      <c r="L57" s="17" t="str">
        <f aca="false">IF(J57="",$E$4,IF(ABS(J57-E57)&lt;=G57+0.0000001,$E$5,IF(ABS(J57-E57)&lt;=I57,$E$6,$E$7)))</f>
        <v>offen</v>
      </c>
    </row>
    <row r="58" customFormat="false" ht="35.05" hidden="false" customHeight="false" outlineLevel="0" collapsed="false">
      <c r="A58" s="6" t="s">
        <v>962</v>
      </c>
      <c r="B58" s="6" t="s">
        <v>950</v>
      </c>
      <c r="C58" s="6" t="s">
        <v>357</v>
      </c>
      <c r="D58" s="6" t="s">
        <v>959</v>
      </c>
      <c r="E58" s="26" t="n">
        <f aca="false">CMO_Tab5!K15</f>
        <v>58</v>
      </c>
      <c r="F58" s="25" t="n">
        <v>0</v>
      </c>
      <c r="G58" s="19" t="n">
        <f aca="false">0.5*10^(-F58)</f>
        <v>0.5</v>
      </c>
      <c r="H58" s="6" t="s">
        <v>954</v>
      </c>
      <c r="I58" s="19" t="n">
        <f aca="false">IF(H58="Anteil",$C$4,IF(H58="Zählwert",MAX($C$6,$C$5*ABS(E58)),$C$5*ABS(E58)))</f>
        <v>2.9</v>
      </c>
      <c r="J58" s="44"/>
      <c r="K58" s="19" t="str">
        <f aca="false">IF(J58="","",J58-E58)</f>
        <v/>
      </c>
      <c r="L58" s="17" t="str">
        <f aca="false">IF(J58="",$E$4,IF(ABS(J58-E58)&lt;=G58+0.0000001,$E$5,IF(ABS(J58-E58)&lt;=I58,$E$6,$E$7)))</f>
        <v>offen</v>
      </c>
    </row>
    <row r="59" customFormat="false" ht="35.05" hidden="false" customHeight="false" outlineLevel="0" collapsed="false">
      <c r="A59" s="6" t="s">
        <v>963</v>
      </c>
      <c r="B59" s="6" t="s">
        <v>950</v>
      </c>
      <c r="C59" s="6" t="s">
        <v>358</v>
      </c>
      <c r="D59" s="6" t="s">
        <v>959</v>
      </c>
      <c r="E59" s="26" t="n">
        <f aca="false">CMO_Tab5!L15</f>
        <v>34</v>
      </c>
      <c r="F59" s="25" t="n">
        <v>0</v>
      </c>
      <c r="G59" s="19" t="n">
        <f aca="false">0.5*10^(-F59)</f>
        <v>0.5</v>
      </c>
      <c r="H59" s="6" t="s">
        <v>954</v>
      </c>
      <c r="I59" s="19" t="n">
        <f aca="false">IF(H59="Anteil",$C$4,IF(H59="Zählwert",MAX($C$6,$C$5*ABS(E59)),$C$5*ABS(E59)))</f>
        <v>2</v>
      </c>
      <c r="J59" s="44"/>
      <c r="K59" s="19" t="str">
        <f aca="false">IF(J59="","",J59-E59)</f>
        <v/>
      </c>
      <c r="L59" s="17" t="str">
        <f aca="false">IF(J59="",$E$4,IF(ABS(J59-E59)&lt;=G59+0.0000001,$E$5,IF(ABS(J59-E59)&lt;=I59,$E$6,$E$7)))</f>
        <v>offen</v>
      </c>
    </row>
    <row r="60" customFormat="false" ht="35.05" hidden="false" customHeight="false" outlineLevel="0" collapsed="false">
      <c r="A60" s="6" t="s">
        <v>964</v>
      </c>
      <c r="B60" s="6" t="s">
        <v>950</v>
      </c>
      <c r="C60" s="6" t="s">
        <v>951</v>
      </c>
      <c r="D60" s="6" t="s">
        <v>965</v>
      </c>
      <c r="E60" s="27" t="n">
        <f aca="false">CMO_Tab5!H16</f>
        <v>0.65</v>
      </c>
      <c r="F60" s="25" t="n">
        <v>2</v>
      </c>
      <c r="G60" s="19" t="n">
        <f aca="false">0.5*10^(-F60)</f>
        <v>0.005</v>
      </c>
      <c r="H60" s="6" t="s">
        <v>872</v>
      </c>
      <c r="I60" s="19" t="n">
        <f aca="false">IF(H60="Anteil",$C$4,IF(H60="Zählwert",MAX($C$6,$C$5*ABS(E60)),$C$5*ABS(E60)))</f>
        <v>0.03</v>
      </c>
      <c r="J60" s="44"/>
      <c r="K60" s="19" t="str">
        <f aca="false">IF(J60="","",J60-E60)</f>
        <v/>
      </c>
      <c r="L60" s="17" t="str">
        <f aca="false">IF(J60="",$E$4,IF(ABS(J60-E60)&lt;=G60+0.0000001,$E$5,IF(ABS(J60-E60)&lt;=I60,$E$6,$E$7)))</f>
        <v>offen</v>
      </c>
    </row>
    <row r="61" customFormat="false" ht="35.05" hidden="false" customHeight="false" outlineLevel="0" collapsed="false">
      <c r="A61" s="6" t="s">
        <v>966</v>
      </c>
      <c r="B61" s="6" t="s">
        <v>950</v>
      </c>
      <c r="C61" s="6" t="s">
        <v>356</v>
      </c>
      <c r="D61" s="6" t="s">
        <v>965</v>
      </c>
      <c r="E61" s="26" t="n">
        <f aca="false">CMO_Tab5!I16</f>
        <v>57</v>
      </c>
      <c r="F61" s="25" t="n">
        <v>0</v>
      </c>
      <c r="G61" s="19" t="n">
        <f aca="false">0.5*10^(-F61)</f>
        <v>0.5</v>
      </c>
      <c r="H61" s="6" t="s">
        <v>954</v>
      </c>
      <c r="I61" s="19" t="n">
        <f aca="false">IF(H61="Anteil",$C$4,IF(H61="Zählwert",MAX($C$6,$C$5*ABS(E61)),$C$5*ABS(E61)))</f>
        <v>2.85</v>
      </c>
      <c r="J61" s="44"/>
      <c r="K61" s="19" t="str">
        <f aca="false">IF(J61="","",J61-E61)</f>
        <v/>
      </c>
      <c r="L61" s="17" t="str">
        <f aca="false">IF(J61="",$E$4,IF(ABS(J61-E61)&lt;=G61+0.0000001,$E$5,IF(ABS(J61-E61)&lt;=I61,$E$6,$E$7)))</f>
        <v>offen</v>
      </c>
    </row>
    <row r="62" customFormat="false" ht="35.05" hidden="false" customHeight="false" outlineLevel="0" collapsed="false">
      <c r="A62" s="6" t="s">
        <v>967</v>
      </c>
      <c r="B62" s="6" t="s">
        <v>950</v>
      </c>
      <c r="C62" s="6" t="s">
        <v>240</v>
      </c>
      <c r="D62" s="6" t="s">
        <v>965</v>
      </c>
      <c r="E62" s="26" t="n">
        <f aca="false">CMO_Tab5!J16</f>
        <v>60</v>
      </c>
      <c r="F62" s="25" t="n">
        <v>0</v>
      </c>
      <c r="G62" s="19" t="n">
        <f aca="false">0.5*10^(-F62)</f>
        <v>0.5</v>
      </c>
      <c r="H62" s="6" t="s">
        <v>954</v>
      </c>
      <c r="I62" s="19" t="n">
        <f aca="false">IF(H62="Anteil",$C$4,IF(H62="Zählwert",MAX($C$6,$C$5*ABS(E62)),$C$5*ABS(E62)))</f>
        <v>3</v>
      </c>
      <c r="J62" s="44"/>
      <c r="K62" s="19" t="str">
        <f aca="false">IF(J62="","",J62-E62)</f>
        <v/>
      </c>
      <c r="L62" s="17" t="str">
        <f aca="false">IF(J62="",$E$4,IF(ABS(J62-E62)&lt;=G62+0.0000001,$E$5,IF(ABS(J62-E62)&lt;=I62,$E$6,$E$7)))</f>
        <v>offen</v>
      </c>
    </row>
    <row r="63" customFormat="false" ht="35.05" hidden="false" customHeight="false" outlineLevel="0" collapsed="false">
      <c r="A63" s="6" t="s">
        <v>968</v>
      </c>
      <c r="B63" s="6" t="s">
        <v>950</v>
      </c>
      <c r="C63" s="6" t="s">
        <v>357</v>
      </c>
      <c r="D63" s="6" t="s">
        <v>965</v>
      </c>
      <c r="E63" s="26" t="n">
        <f aca="false">CMO_Tab5!K16</f>
        <v>66</v>
      </c>
      <c r="F63" s="25" t="n">
        <v>0</v>
      </c>
      <c r="G63" s="19" t="n">
        <f aca="false">0.5*10^(-F63)</f>
        <v>0.5</v>
      </c>
      <c r="H63" s="6" t="s">
        <v>954</v>
      </c>
      <c r="I63" s="19" t="n">
        <f aca="false">IF(H63="Anteil",$C$4,IF(H63="Zählwert",MAX($C$6,$C$5*ABS(E63)),$C$5*ABS(E63)))</f>
        <v>3.3</v>
      </c>
      <c r="J63" s="44"/>
      <c r="K63" s="19" t="str">
        <f aca="false">IF(J63="","",J63-E63)</f>
        <v/>
      </c>
      <c r="L63" s="17" t="str">
        <f aca="false">IF(J63="",$E$4,IF(ABS(J63-E63)&lt;=G63+0.0000001,$E$5,IF(ABS(J63-E63)&lt;=I63,$E$6,$E$7)))</f>
        <v>offen</v>
      </c>
    </row>
    <row r="64" customFormat="false" ht="35.05" hidden="false" customHeight="false" outlineLevel="0" collapsed="false">
      <c r="A64" s="6" t="s">
        <v>969</v>
      </c>
      <c r="B64" s="6" t="s">
        <v>950</v>
      </c>
      <c r="C64" s="6" t="s">
        <v>358</v>
      </c>
      <c r="D64" s="6" t="s">
        <v>965</v>
      </c>
      <c r="E64" s="26" t="n">
        <f aca="false">CMO_Tab5!L16</f>
        <v>14</v>
      </c>
      <c r="F64" s="25" t="n">
        <v>0</v>
      </c>
      <c r="G64" s="19" t="n">
        <f aca="false">0.5*10^(-F64)</f>
        <v>0.5</v>
      </c>
      <c r="H64" s="6" t="s">
        <v>954</v>
      </c>
      <c r="I64" s="19" t="n">
        <f aca="false">IF(H64="Anteil",$C$4,IF(H64="Zählwert",MAX($C$6,$C$5*ABS(E64)),$C$5*ABS(E64)))</f>
        <v>2</v>
      </c>
      <c r="J64" s="44"/>
      <c r="K64" s="19" t="str">
        <f aca="false">IF(J64="","",J64-E64)</f>
        <v/>
      </c>
      <c r="L64" s="17" t="str">
        <f aca="false">IF(J64="",$E$4,IF(ABS(J64-E64)&lt;=G64+0.0000001,$E$5,IF(ABS(J64-E64)&lt;=I64,$E$6,$E$7)))</f>
        <v>offen</v>
      </c>
    </row>
    <row r="65" customFormat="false" ht="35.05" hidden="false" customHeight="false" outlineLevel="0" collapsed="false">
      <c r="A65" s="6" t="s">
        <v>970</v>
      </c>
      <c r="B65" s="6" t="s">
        <v>950</v>
      </c>
      <c r="C65" s="6" t="s">
        <v>951</v>
      </c>
      <c r="D65" s="6" t="s">
        <v>971</v>
      </c>
      <c r="E65" s="27" t="n">
        <f aca="false">CMO_Tab5!H17</f>
        <v>0.38</v>
      </c>
      <c r="F65" s="25" t="n">
        <v>2</v>
      </c>
      <c r="G65" s="19" t="n">
        <f aca="false">0.5*10^(-F65)</f>
        <v>0.005</v>
      </c>
      <c r="H65" s="6" t="s">
        <v>872</v>
      </c>
      <c r="I65" s="19" t="n">
        <f aca="false">IF(H65="Anteil",$C$4,IF(H65="Zählwert",MAX($C$6,$C$5*ABS(E65)),$C$5*ABS(E65)))</f>
        <v>0.03</v>
      </c>
      <c r="J65" s="44"/>
      <c r="K65" s="19" t="str">
        <f aca="false">IF(J65="","",J65-E65)</f>
        <v/>
      </c>
      <c r="L65" s="17" t="str">
        <f aca="false">IF(J65="",$E$4,IF(ABS(J65-E65)&lt;=G65+0.0000001,$E$5,IF(ABS(J65-E65)&lt;=I65,$E$6,$E$7)))</f>
        <v>offen</v>
      </c>
    </row>
    <row r="66" customFormat="false" ht="35.05" hidden="false" customHeight="false" outlineLevel="0" collapsed="false">
      <c r="A66" s="6" t="s">
        <v>972</v>
      </c>
      <c r="B66" s="6" t="s">
        <v>950</v>
      </c>
      <c r="C66" s="6" t="s">
        <v>356</v>
      </c>
      <c r="D66" s="6" t="s">
        <v>971</v>
      </c>
      <c r="E66" s="26" t="n">
        <f aca="false">CMO_Tab5!I17</f>
        <v>210</v>
      </c>
      <c r="F66" s="25" t="n">
        <v>0</v>
      </c>
      <c r="G66" s="19" t="n">
        <f aca="false">0.5*10^(-F66)</f>
        <v>0.5</v>
      </c>
      <c r="H66" s="6" t="s">
        <v>954</v>
      </c>
      <c r="I66" s="19" t="n">
        <f aca="false">IF(H66="Anteil",$C$4,IF(H66="Zählwert",MAX($C$6,$C$5*ABS(E66)),$C$5*ABS(E66)))</f>
        <v>10.5</v>
      </c>
      <c r="J66" s="44"/>
      <c r="K66" s="19" t="str">
        <f aca="false">IF(J66="","",J66-E66)</f>
        <v/>
      </c>
      <c r="L66" s="17" t="str">
        <f aca="false">IF(J66="",$E$4,IF(ABS(J66-E66)&lt;=G66+0.0000001,$E$5,IF(ABS(J66-E66)&lt;=I66,$E$6,$E$7)))</f>
        <v>offen</v>
      </c>
    </row>
    <row r="67" customFormat="false" ht="35.05" hidden="false" customHeight="false" outlineLevel="0" collapsed="false">
      <c r="A67" s="6" t="s">
        <v>973</v>
      </c>
      <c r="B67" s="6" t="s">
        <v>950</v>
      </c>
      <c r="C67" s="6" t="s">
        <v>240</v>
      </c>
      <c r="D67" s="6" t="s">
        <v>971</v>
      </c>
      <c r="E67" s="26" t="n">
        <f aca="false">CMO_Tab5!J17</f>
        <v>25</v>
      </c>
      <c r="F67" s="25" t="n">
        <v>0</v>
      </c>
      <c r="G67" s="19" t="n">
        <f aca="false">0.5*10^(-F67)</f>
        <v>0.5</v>
      </c>
      <c r="H67" s="6" t="s">
        <v>954</v>
      </c>
      <c r="I67" s="19" t="n">
        <f aca="false">IF(H67="Anteil",$C$4,IF(H67="Zählwert",MAX($C$6,$C$5*ABS(E67)),$C$5*ABS(E67)))</f>
        <v>2</v>
      </c>
      <c r="J67" s="44"/>
      <c r="K67" s="19" t="str">
        <f aca="false">IF(J67="","",J67-E67)</f>
        <v/>
      </c>
      <c r="L67" s="17" t="str">
        <f aca="false">IF(J67="",$E$4,IF(ABS(J67-E67)&lt;=G67+0.0000001,$E$5,IF(ABS(J67-E67)&lt;=I67,$E$6,$E$7)))</f>
        <v>offen</v>
      </c>
    </row>
    <row r="68" customFormat="false" ht="35.05" hidden="false" customHeight="false" outlineLevel="0" collapsed="false">
      <c r="A68" s="6" t="s">
        <v>974</v>
      </c>
      <c r="B68" s="6" t="s">
        <v>950</v>
      </c>
      <c r="C68" s="6" t="s">
        <v>357</v>
      </c>
      <c r="D68" s="6" t="s">
        <v>971</v>
      </c>
      <c r="E68" s="26" t="n">
        <f aca="false">CMO_Tab5!K17</f>
        <v>66</v>
      </c>
      <c r="F68" s="25" t="n">
        <v>0</v>
      </c>
      <c r="G68" s="19" t="n">
        <f aca="false">0.5*10^(-F68)</f>
        <v>0.5</v>
      </c>
      <c r="H68" s="6" t="s">
        <v>954</v>
      </c>
      <c r="I68" s="19" t="n">
        <f aca="false">IF(H68="Anteil",$C$4,IF(H68="Zählwert",MAX($C$6,$C$5*ABS(E68)),$C$5*ABS(E68)))</f>
        <v>3.3</v>
      </c>
      <c r="J68" s="44"/>
      <c r="K68" s="19" t="str">
        <f aca="false">IF(J68="","",J68-E68)</f>
        <v/>
      </c>
      <c r="L68" s="17" t="str">
        <f aca="false">IF(J68="",$E$4,IF(ABS(J68-E68)&lt;=G68+0.0000001,$E$5,IF(ABS(J68-E68)&lt;=I68,$E$6,$E$7)))</f>
        <v>offen</v>
      </c>
    </row>
    <row r="69" customFormat="false" ht="35.05" hidden="false" customHeight="false" outlineLevel="0" collapsed="false">
      <c r="A69" s="6" t="s">
        <v>975</v>
      </c>
      <c r="B69" s="6" t="s">
        <v>950</v>
      </c>
      <c r="C69" s="6" t="s">
        <v>358</v>
      </c>
      <c r="D69" s="6" t="s">
        <v>971</v>
      </c>
      <c r="E69" s="26" t="n">
        <f aca="false">CMO_Tab5!L17</f>
        <v>31</v>
      </c>
      <c r="F69" s="25" t="n">
        <v>0</v>
      </c>
      <c r="G69" s="19" t="n">
        <f aca="false">0.5*10^(-F69)</f>
        <v>0.5</v>
      </c>
      <c r="H69" s="6" t="s">
        <v>954</v>
      </c>
      <c r="I69" s="19" t="n">
        <f aca="false">IF(H69="Anteil",$C$4,IF(H69="Zählwert",MAX($C$6,$C$5*ABS(E69)),$C$5*ABS(E69)))</f>
        <v>2</v>
      </c>
      <c r="J69" s="44"/>
      <c r="K69" s="19" t="str">
        <f aca="false">IF(J69="","",J69-E69)</f>
        <v/>
      </c>
      <c r="L69" s="17" t="str">
        <f aca="false">IF(J69="",$E$4,IF(ABS(J69-E69)&lt;=G69+0.0000001,$E$5,IF(ABS(J69-E69)&lt;=I69,$E$6,$E$7)))</f>
        <v>offen</v>
      </c>
    </row>
    <row r="70" customFormat="false" ht="35.05" hidden="false" customHeight="false" outlineLevel="0" collapsed="false">
      <c r="A70" s="6" t="s">
        <v>976</v>
      </c>
      <c r="B70" s="6" t="s">
        <v>950</v>
      </c>
      <c r="C70" s="6" t="s">
        <v>951</v>
      </c>
      <c r="D70" s="6" t="s">
        <v>977</v>
      </c>
      <c r="E70" s="27" t="n">
        <f aca="false">CMO_Tab5!H18</f>
        <v>0.24</v>
      </c>
      <c r="F70" s="25" t="n">
        <v>2</v>
      </c>
      <c r="G70" s="19" t="n">
        <f aca="false">0.5*10^(-F70)</f>
        <v>0.005</v>
      </c>
      <c r="H70" s="6" t="s">
        <v>872</v>
      </c>
      <c r="I70" s="19" t="n">
        <f aca="false">IF(H70="Anteil",$C$4,IF(H70="Zählwert",MAX($C$6,$C$5*ABS(E70)),$C$5*ABS(E70)))</f>
        <v>0.03</v>
      </c>
      <c r="J70" s="44"/>
      <c r="K70" s="19" t="str">
        <f aca="false">IF(J70="","",J70-E70)</f>
        <v/>
      </c>
      <c r="L70" s="17" t="str">
        <f aca="false">IF(J70="",$E$4,IF(ABS(J70-E70)&lt;=G70+0.0000001,$E$5,IF(ABS(J70-E70)&lt;=I70,$E$6,$E$7)))</f>
        <v>offen</v>
      </c>
    </row>
    <row r="71" customFormat="false" ht="35.05" hidden="false" customHeight="false" outlineLevel="0" collapsed="false">
      <c r="A71" s="6" t="s">
        <v>978</v>
      </c>
      <c r="B71" s="6" t="s">
        <v>950</v>
      </c>
      <c r="C71" s="6" t="s">
        <v>356</v>
      </c>
      <c r="D71" s="6" t="s">
        <v>977</v>
      </c>
      <c r="E71" s="26" t="n">
        <f aca="false">CMO_Tab5!I18</f>
        <v>248</v>
      </c>
      <c r="F71" s="25" t="n">
        <v>0</v>
      </c>
      <c r="G71" s="19" t="n">
        <f aca="false">0.5*10^(-F71)</f>
        <v>0.5</v>
      </c>
      <c r="H71" s="6" t="s">
        <v>954</v>
      </c>
      <c r="I71" s="19" t="n">
        <f aca="false">IF(H71="Anteil",$C$4,IF(H71="Zählwert",MAX($C$6,$C$5*ABS(E71)),$C$5*ABS(E71)))</f>
        <v>12.4</v>
      </c>
      <c r="J71" s="44"/>
      <c r="K71" s="19" t="str">
        <f aca="false">IF(J71="","",J71-E71)</f>
        <v/>
      </c>
      <c r="L71" s="17" t="str">
        <f aca="false">IF(J71="",$E$4,IF(ABS(J71-E71)&lt;=G71+0.0000001,$E$5,IF(ABS(J71-E71)&lt;=I71,$E$6,$E$7)))</f>
        <v>offen</v>
      </c>
    </row>
    <row r="72" customFormat="false" ht="35.05" hidden="false" customHeight="false" outlineLevel="0" collapsed="false">
      <c r="A72" s="6" t="s">
        <v>979</v>
      </c>
      <c r="B72" s="6" t="s">
        <v>950</v>
      </c>
      <c r="C72" s="6" t="s">
        <v>240</v>
      </c>
      <c r="D72" s="6" t="s">
        <v>977</v>
      </c>
      <c r="E72" s="26" t="n">
        <f aca="false">CMO_Tab5!J18</f>
        <v>32</v>
      </c>
      <c r="F72" s="25" t="n">
        <v>0</v>
      </c>
      <c r="G72" s="19" t="n">
        <f aca="false">0.5*10^(-F72)</f>
        <v>0.5</v>
      </c>
      <c r="H72" s="6" t="s">
        <v>954</v>
      </c>
      <c r="I72" s="19" t="n">
        <f aca="false">IF(H72="Anteil",$C$4,IF(H72="Zählwert",MAX($C$6,$C$5*ABS(E72)),$C$5*ABS(E72)))</f>
        <v>2</v>
      </c>
      <c r="J72" s="44"/>
      <c r="K72" s="19" t="str">
        <f aca="false">IF(J72="","",J72-E72)</f>
        <v/>
      </c>
      <c r="L72" s="17" t="str">
        <f aca="false">IF(J72="",$E$4,IF(ABS(J72-E72)&lt;=G72+0.0000001,$E$5,IF(ABS(J72-E72)&lt;=I72,$E$6,$E$7)))</f>
        <v>offen</v>
      </c>
    </row>
    <row r="73" customFormat="false" ht="35.05" hidden="false" customHeight="false" outlineLevel="0" collapsed="false">
      <c r="A73" s="6" t="s">
        <v>980</v>
      </c>
      <c r="B73" s="6" t="s">
        <v>950</v>
      </c>
      <c r="C73" s="6" t="s">
        <v>357</v>
      </c>
      <c r="D73" s="6" t="s">
        <v>977</v>
      </c>
      <c r="E73" s="26" t="n">
        <f aca="false">CMO_Tab5!K18</f>
        <v>55</v>
      </c>
      <c r="F73" s="25" t="n">
        <v>0</v>
      </c>
      <c r="G73" s="19" t="n">
        <f aca="false">0.5*10^(-F73)</f>
        <v>0.5</v>
      </c>
      <c r="H73" s="6" t="s">
        <v>954</v>
      </c>
      <c r="I73" s="19" t="n">
        <f aca="false">IF(H73="Anteil",$C$4,IF(H73="Zählwert",MAX($C$6,$C$5*ABS(E73)),$C$5*ABS(E73)))</f>
        <v>2.75</v>
      </c>
      <c r="J73" s="44"/>
      <c r="K73" s="19" t="str">
        <f aca="false">IF(J73="","",J73-E73)</f>
        <v/>
      </c>
      <c r="L73" s="17" t="str">
        <f aca="false">IF(J73="",$E$4,IF(ABS(J73-E73)&lt;=G73+0.0000001,$E$5,IF(ABS(J73-E73)&lt;=I73,$E$6,$E$7)))</f>
        <v>offen</v>
      </c>
    </row>
    <row r="74" customFormat="false" ht="35.05" hidden="false" customHeight="false" outlineLevel="0" collapsed="false">
      <c r="A74" s="6" t="s">
        <v>981</v>
      </c>
      <c r="B74" s="6" t="s">
        <v>950</v>
      </c>
      <c r="C74" s="6" t="s">
        <v>358</v>
      </c>
      <c r="D74" s="6" t="s">
        <v>977</v>
      </c>
      <c r="E74" s="26" t="n">
        <f aca="false">CMO_Tab5!L18</f>
        <v>38</v>
      </c>
      <c r="F74" s="25" t="n">
        <v>0</v>
      </c>
      <c r="G74" s="19" t="n">
        <f aca="false">0.5*10^(-F74)</f>
        <v>0.5</v>
      </c>
      <c r="H74" s="6" t="s">
        <v>954</v>
      </c>
      <c r="I74" s="19" t="n">
        <f aca="false">IF(H74="Anteil",$C$4,IF(H74="Zählwert",MAX($C$6,$C$5*ABS(E74)),$C$5*ABS(E74)))</f>
        <v>2</v>
      </c>
      <c r="J74" s="44"/>
      <c r="K74" s="19" t="str">
        <f aca="false">IF(J74="","",J74-E74)</f>
        <v/>
      </c>
      <c r="L74" s="17" t="str">
        <f aca="false">IF(J74="",$E$4,IF(ABS(J74-E74)&lt;=G74+0.0000001,$E$5,IF(ABS(J74-E74)&lt;=I74,$E$6,$E$7)))</f>
        <v>offen</v>
      </c>
    </row>
    <row r="75" customFormat="false" ht="35.05" hidden="false" customHeight="false" outlineLevel="0" collapsed="false">
      <c r="A75" s="6" t="s">
        <v>982</v>
      </c>
      <c r="B75" s="6" t="s">
        <v>950</v>
      </c>
      <c r="C75" s="6" t="s">
        <v>951</v>
      </c>
      <c r="D75" s="6" t="s">
        <v>983</v>
      </c>
      <c r="E75" s="27" t="n">
        <f aca="false">CMO_Tab5!H19</f>
        <v>0.31</v>
      </c>
      <c r="F75" s="25" t="n">
        <v>2</v>
      </c>
      <c r="G75" s="19" t="n">
        <f aca="false">0.5*10^(-F75)</f>
        <v>0.005</v>
      </c>
      <c r="H75" s="6" t="s">
        <v>872</v>
      </c>
      <c r="I75" s="19" t="n">
        <f aca="false">IF(H75="Anteil",$C$4,IF(H75="Zählwert",MAX($C$6,$C$5*ABS(E75)),$C$5*ABS(E75)))</f>
        <v>0.03</v>
      </c>
      <c r="J75" s="44"/>
      <c r="K75" s="19" t="str">
        <f aca="false">IF(J75="","",J75-E75)</f>
        <v/>
      </c>
      <c r="L75" s="17" t="str">
        <f aca="false">IF(J75="",$E$4,IF(ABS(J75-E75)&lt;=G75+0.0000001,$E$5,IF(ABS(J75-E75)&lt;=I75,$E$6,$E$7)))</f>
        <v>offen</v>
      </c>
    </row>
    <row r="76" customFormat="false" ht="35.05" hidden="false" customHeight="false" outlineLevel="0" collapsed="false">
      <c r="A76" s="6" t="s">
        <v>984</v>
      </c>
      <c r="B76" s="6" t="s">
        <v>950</v>
      </c>
      <c r="C76" s="6" t="s">
        <v>356</v>
      </c>
      <c r="D76" s="6" t="s">
        <v>983</v>
      </c>
      <c r="E76" s="26" t="n">
        <f aca="false">CMO_Tab5!I19</f>
        <v>200</v>
      </c>
      <c r="F76" s="25" t="n">
        <v>0</v>
      </c>
      <c r="G76" s="19" t="n">
        <f aca="false">0.5*10^(-F76)</f>
        <v>0.5</v>
      </c>
      <c r="H76" s="6" t="s">
        <v>954</v>
      </c>
      <c r="I76" s="19" t="n">
        <f aca="false">IF(H76="Anteil",$C$4,IF(H76="Zählwert",MAX($C$6,$C$5*ABS(E76)),$C$5*ABS(E76)))</f>
        <v>10</v>
      </c>
      <c r="J76" s="44"/>
      <c r="K76" s="19" t="str">
        <f aca="false">IF(J76="","",J76-E76)</f>
        <v/>
      </c>
      <c r="L76" s="17" t="str">
        <f aca="false">IF(J76="",$E$4,IF(ABS(J76-E76)&lt;=G76+0.0000001,$E$5,IF(ABS(J76-E76)&lt;=I76,$E$6,$E$7)))</f>
        <v>offen</v>
      </c>
    </row>
    <row r="77" customFormat="false" ht="35.05" hidden="false" customHeight="false" outlineLevel="0" collapsed="false">
      <c r="A77" s="6" t="s">
        <v>985</v>
      </c>
      <c r="B77" s="6" t="s">
        <v>950</v>
      </c>
      <c r="C77" s="6" t="s">
        <v>240</v>
      </c>
      <c r="D77" s="6" t="s">
        <v>983</v>
      </c>
      <c r="E77" s="26" t="n">
        <f aca="false">CMO_Tab5!J19</f>
        <v>30</v>
      </c>
      <c r="F77" s="25" t="n">
        <v>0</v>
      </c>
      <c r="G77" s="19" t="n">
        <f aca="false">0.5*10^(-F77)</f>
        <v>0.5</v>
      </c>
      <c r="H77" s="6" t="s">
        <v>954</v>
      </c>
      <c r="I77" s="19" t="n">
        <f aca="false">IF(H77="Anteil",$C$4,IF(H77="Zählwert",MAX($C$6,$C$5*ABS(E77)),$C$5*ABS(E77)))</f>
        <v>2</v>
      </c>
      <c r="J77" s="44"/>
      <c r="K77" s="19" t="str">
        <f aca="false">IF(J77="","",J77-E77)</f>
        <v/>
      </c>
      <c r="L77" s="17" t="str">
        <f aca="false">IF(J77="",$E$4,IF(ABS(J77-E77)&lt;=G77+0.0000001,$E$5,IF(ABS(J77-E77)&lt;=I77,$E$6,$E$7)))</f>
        <v>offen</v>
      </c>
    </row>
    <row r="78" customFormat="false" ht="35.05" hidden="false" customHeight="false" outlineLevel="0" collapsed="false">
      <c r="A78" s="6" t="s">
        <v>986</v>
      </c>
      <c r="B78" s="6" t="s">
        <v>950</v>
      </c>
      <c r="C78" s="6" t="s">
        <v>357</v>
      </c>
      <c r="D78" s="6" t="s">
        <v>983</v>
      </c>
      <c r="E78" s="26" t="n">
        <f aca="false">CMO_Tab5!K19</f>
        <v>58</v>
      </c>
      <c r="F78" s="25" t="n">
        <v>0</v>
      </c>
      <c r="G78" s="19" t="n">
        <f aca="false">0.5*10^(-F78)</f>
        <v>0.5</v>
      </c>
      <c r="H78" s="6" t="s">
        <v>954</v>
      </c>
      <c r="I78" s="19" t="n">
        <f aca="false">IF(H78="Anteil",$C$4,IF(H78="Zählwert",MAX($C$6,$C$5*ABS(E78)),$C$5*ABS(E78)))</f>
        <v>2.9</v>
      </c>
      <c r="J78" s="44"/>
      <c r="K78" s="19" t="str">
        <f aca="false">IF(J78="","",J78-E78)</f>
        <v/>
      </c>
      <c r="L78" s="17" t="str">
        <f aca="false">IF(J78="",$E$4,IF(ABS(J78-E78)&lt;=G78+0.0000001,$E$5,IF(ABS(J78-E78)&lt;=I78,$E$6,$E$7)))</f>
        <v>offen</v>
      </c>
    </row>
    <row r="79" customFormat="false" ht="35.05" hidden="false" customHeight="false" outlineLevel="0" collapsed="false">
      <c r="A79" s="6" t="s">
        <v>987</v>
      </c>
      <c r="B79" s="6" t="s">
        <v>950</v>
      </c>
      <c r="C79" s="6" t="s">
        <v>358</v>
      </c>
      <c r="D79" s="6" t="s">
        <v>983</v>
      </c>
      <c r="E79" s="26" t="n">
        <f aca="false">CMO_Tab5!L19</f>
        <v>28</v>
      </c>
      <c r="F79" s="25" t="n">
        <v>0</v>
      </c>
      <c r="G79" s="19" t="n">
        <f aca="false">0.5*10^(-F79)</f>
        <v>0.5</v>
      </c>
      <c r="H79" s="6" t="s">
        <v>954</v>
      </c>
      <c r="I79" s="19" t="n">
        <f aca="false">IF(H79="Anteil",$C$4,IF(H79="Zählwert",MAX($C$6,$C$5*ABS(E79)),$C$5*ABS(E79)))</f>
        <v>2</v>
      </c>
      <c r="J79" s="44"/>
      <c r="K79" s="19" t="str">
        <f aca="false">IF(J79="","",J79-E79)</f>
        <v/>
      </c>
      <c r="L79" s="17" t="str">
        <f aca="false">IF(J79="",$E$4,IF(ABS(J79-E79)&lt;=G79+0.0000001,$E$5,IF(ABS(J79-E79)&lt;=I79,$E$6,$E$7)))</f>
        <v>offen</v>
      </c>
    </row>
    <row r="80" customFormat="false" ht="35.05" hidden="false" customHeight="false" outlineLevel="0" collapsed="false">
      <c r="A80" s="6" t="s">
        <v>988</v>
      </c>
      <c r="B80" s="6" t="s">
        <v>950</v>
      </c>
      <c r="C80" s="6" t="s">
        <v>951</v>
      </c>
      <c r="D80" s="6" t="s">
        <v>989</v>
      </c>
      <c r="E80" s="27" t="n">
        <f aca="false">CMO_Tab5!H20</f>
        <v>1</v>
      </c>
      <c r="F80" s="25" t="n">
        <v>1</v>
      </c>
      <c r="G80" s="19" t="n">
        <f aca="false">0.5*10^(-F80)</f>
        <v>0.05</v>
      </c>
      <c r="H80" s="6" t="s">
        <v>872</v>
      </c>
      <c r="I80" s="19" t="n">
        <f aca="false">IF(H80="Anteil",$C$4,IF(H80="Zählwert",MAX($C$6,$C$5*ABS(E80)),$C$5*ABS(E80)))</f>
        <v>0.03</v>
      </c>
      <c r="J80" s="44"/>
      <c r="K80" s="19" t="str">
        <f aca="false">IF(J80="","",J80-E80)</f>
        <v/>
      </c>
      <c r="L80" s="17" t="str">
        <f aca="false">IF(J80="",$E$4,IF(ABS(J80-E80)&lt;=G80+0.0000001,$E$5,IF(ABS(J80-E80)&lt;=I80,$E$6,$E$7)))</f>
        <v>offen</v>
      </c>
    </row>
    <row r="81" customFormat="false" ht="35.05" hidden="false" customHeight="false" outlineLevel="0" collapsed="false">
      <c r="A81" s="6" t="s">
        <v>990</v>
      </c>
      <c r="B81" s="6" t="s">
        <v>950</v>
      </c>
      <c r="C81" s="6" t="s">
        <v>356</v>
      </c>
      <c r="D81" s="6" t="s">
        <v>989</v>
      </c>
      <c r="E81" s="26" t="n">
        <f aca="false">CMO_Tab5!I20</f>
        <v>0</v>
      </c>
      <c r="F81" s="25" t="n">
        <v>0</v>
      </c>
      <c r="G81" s="19" t="n">
        <f aca="false">0.5*10^(-F81)</f>
        <v>0.5</v>
      </c>
      <c r="H81" s="6" t="s">
        <v>954</v>
      </c>
      <c r="I81" s="19" t="n">
        <f aca="false">IF(H81="Anteil",$C$4,IF(H81="Zählwert",MAX($C$6,$C$5*ABS(E81)),$C$5*ABS(E81)))</f>
        <v>2</v>
      </c>
      <c r="J81" s="44"/>
      <c r="K81" s="19" t="str">
        <f aca="false">IF(J81="","",J81-E81)</f>
        <v/>
      </c>
      <c r="L81" s="17" t="str">
        <f aca="false">IF(J81="",$E$4,IF(ABS(J81-E81)&lt;=G81+0.0000001,$E$5,IF(ABS(J81-E81)&lt;=I81,$E$6,$E$7)))</f>
        <v>offen</v>
      </c>
    </row>
    <row r="82" customFormat="false" ht="35.05" hidden="false" customHeight="false" outlineLevel="0" collapsed="false">
      <c r="A82" s="6" t="s">
        <v>991</v>
      </c>
      <c r="B82" s="6" t="s">
        <v>950</v>
      </c>
      <c r="C82" s="6" t="s">
        <v>240</v>
      </c>
      <c r="D82" s="6" t="s">
        <v>989</v>
      </c>
      <c r="E82" s="26" t="n">
        <f aca="false">CMO_Tab5!J20</f>
        <v>0</v>
      </c>
      <c r="F82" s="25" t="n">
        <v>0</v>
      </c>
      <c r="G82" s="19" t="n">
        <f aca="false">0.5*10^(-F82)</f>
        <v>0.5</v>
      </c>
      <c r="H82" s="6" t="s">
        <v>954</v>
      </c>
      <c r="I82" s="19" t="n">
        <f aca="false">IF(H82="Anteil",$C$4,IF(H82="Zählwert",MAX($C$6,$C$5*ABS(E82)),$C$5*ABS(E82)))</f>
        <v>2</v>
      </c>
      <c r="J82" s="44"/>
      <c r="K82" s="19" t="str">
        <f aca="false">IF(J82="","",J82-E82)</f>
        <v/>
      </c>
      <c r="L82" s="17" t="str">
        <f aca="false">IF(J82="",$E$4,IF(ABS(J82-E82)&lt;=G82+0.0000001,$E$5,IF(ABS(J82-E82)&lt;=I82,$E$6,$E$7)))</f>
        <v>offen</v>
      </c>
    </row>
    <row r="83" customFormat="false" ht="35.05" hidden="false" customHeight="false" outlineLevel="0" collapsed="false">
      <c r="A83" s="6" t="s">
        <v>992</v>
      </c>
      <c r="B83" s="6" t="s">
        <v>950</v>
      </c>
      <c r="C83" s="6" t="s">
        <v>357</v>
      </c>
      <c r="D83" s="6" t="s">
        <v>989</v>
      </c>
      <c r="E83" s="26" t="n">
        <f aca="false">CMO_Tab5!K20</f>
        <v>100</v>
      </c>
      <c r="F83" s="25" t="n">
        <v>0</v>
      </c>
      <c r="G83" s="19" t="n">
        <f aca="false">0.5*10^(-F83)</f>
        <v>0.5</v>
      </c>
      <c r="H83" s="6" t="s">
        <v>954</v>
      </c>
      <c r="I83" s="19" t="n">
        <f aca="false">IF(H83="Anteil",$C$4,IF(H83="Zählwert",MAX($C$6,$C$5*ABS(E83)),$C$5*ABS(E83)))</f>
        <v>5</v>
      </c>
      <c r="J83" s="44"/>
      <c r="K83" s="19" t="str">
        <f aca="false">IF(J83="","",J83-E83)</f>
        <v/>
      </c>
      <c r="L83" s="17" t="str">
        <f aca="false">IF(J83="",$E$4,IF(ABS(J83-E83)&lt;=G83+0.0000001,$E$5,IF(ABS(J83-E83)&lt;=I83,$E$6,$E$7)))</f>
        <v>offen</v>
      </c>
    </row>
    <row r="84" customFormat="false" ht="35.05" hidden="false" customHeight="false" outlineLevel="0" collapsed="false">
      <c r="A84" s="6" t="s">
        <v>993</v>
      </c>
      <c r="B84" s="6" t="s">
        <v>950</v>
      </c>
      <c r="C84" s="6" t="s">
        <v>358</v>
      </c>
      <c r="D84" s="6" t="s">
        <v>989</v>
      </c>
      <c r="E84" s="26" t="n">
        <f aca="false">CMO_Tab5!L20</f>
        <v>0</v>
      </c>
      <c r="F84" s="25" t="n">
        <v>0</v>
      </c>
      <c r="G84" s="19" t="n">
        <f aca="false">0.5*10^(-F84)</f>
        <v>0.5</v>
      </c>
      <c r="H84" s="6" t="s">
        <v>954</v>
      </c>
      <c r="I84" s="19" t="n">
        <f aca="false">IF(H84="Anteil",$C$4,IF(H84="Zählwert",MAX($C$6,$C$5*ABS(E84)),$C$5*ABS(E84)))</f>
        <v>2</v>
      </c>
      <c r="J84" s="44"/>
      <c r="K84" s="19" t="str">
        <f aca="false">IF(J84="","",J84-E84)</f>
        <v/>
      </c>
      <c r="L84" s="17" t="str">
        <f aca="false">IF(J84="",$E$4,IF(ABS(J84-E84)&lt;=G84+0.0000001,$E$5,IF(ABS(J84-E84)&lt;=I84,$E$6,$E$7)))</f>
        <v>offen</v>
      </c>
    </row>
    <row r="85" customFormat="false" ht="35.05" hidden="false" customHeight="false" outlineLevel="0" collapsed="false">
      <c r="A85" s="6" t="s">
        <v>994</v>
      </c>
      <c r="B85" s="6" t="s">
        <v>950</v>
      </c>
      <c r="C85" s="6" t="s">
        <v>951</v>
      </c>
      <c r="D85" s="6" t="s">
        <v>995</v>
      </c>
      <c r="E85" s="27" t="n">
        <f aca="false">CMO_Tab5!H21</f>
        <v>0</v>
      </c>
      <c r="F85" s="25" t="n">
        <v>0</v>
      </c>
      <c r="G85" s="19" t="n">
        <f aca="false">0.5*10^(-F85)</f>
        <v>0.5</v>
      </c>
      <c r="H85" s="6" t="s">
        <v>872</v>
      </c>
      <c r="I85" s="19" t="n">
        <f aca="false">IF(H85="Anteil",$C$4,IF(H85="Zählwert",MAX($C$6,$C$5*ABS(E85)),$C$5*ABS(E85)))</f>
        <v>0.03</v>
      </c>
      <c r="J85" s="44"/>
      <c r="K85" s="19" t="str">
        <f aca="false">IF(J85="","",J85-E85)</f>
        <v/>
      </c>
      <c r="L85" s="17" t="str">
        <f aca="false">IF(J85="",$E$4,IF(ABS(J85-E85)&lt;=G85+0.0000001,$E$5,IF(ABS(J85-E85)&lt;=I85,$E$6,$E$7)))</f>
        <v>offen</v>
      </c>
    </row>
    <row r="86" customFormat="false" ht="35.05" hidden="false" customHeight="false" outlineLevel="0" collapsed="false">
      <c r="A86" s="6" t="s">
        <v>996</v>
      </c>
      <c r="B86" s="6" t="s">
        <v>950</v>
      </c>
      <c r="C86" s="6" t="s">
        <v>356</v>
      </c>
      <c r="D86" s="6" t="s">
        <v>995</v>
      </c>
      <c r="E86" s="26" t="n">
        <f aca="false">CMO_Tab5!I21</f>
        <v>310</v>
      </c>
      <c r="F86" s="25" t="n">
        <v>0</v>
      </c>
      <c r="G86" s="19" t="n">
        <f aca="false">0.5*10^(-F86)</f>
        <v>0.5</v>
      </c>
      <c r="H86" s="6" t="s">
        <v>954</v>
      </c>
      <c r="I86" s="19" t="n">
        <f aca="false">IF(H86="Anteil",$C$4,IF(H86="Zählwert",MAX($C$6,$C$5*ABS(E86)),$C$5*ABS(E86)))</f>
        <v>15.5</v>
      </c>
      <c r="J86" s="44"/>
      <c r="K86" s="19" t="str">
        <f aca="false">IF(J86="","",J86-E86)</f>
        <v/>
      </c>
      <c r="L86" s="17" t="str">
        <f aca="false">IF(J86="",$E$4,IF(ABS(J86-E86)&lt;=G86+0.0000001,$E$5,IF(ABS(J86-E86)&lt;=I86,$E$6,$E$7)))</f>
        <v>offen</v>
      </c>
    </row>
    <row r="87" customFormat="false" ht="35.05" hidden="false" customHeight="false" outlineLevel="0" collapsed="false">
      <c r="A87" s="6" t="s">
        <v>997</v>
      </c>
      <c r="B87" s="6" t="s">
        <v>950</v>
      </c>
      <c r="C87" s="6" t="s">
        <v>240</v>
      </c>
      <c r="D87" s="6" t="s">
        <v>995</v>
      </c>
      <c r="E87" s="26" t="n">
        <f aca="false">CMO_Tab5!J21</f>
        <v>0</v>
      </c>
      <c r="F87" s="25" t="n">
        <v>0</v>
      </c>
      <c r="G87" s="19" t="n">
        <f aca="false">0.5*10^(-F87)</f>
        <v>0.5</v>
      </c>
      <c r="H87" s="6" t="s">
        <v>954</v>
      </c>
      <c r="I87" s="19" t="n">
        <f aca="false">IF(H87="Anteil",$C$4,IF(H87="Zählwert",MAX($C$6,$C$5*ABS(E87)),$C$5*ABS(E87)))</f>
        <v>2</v>
      </c>
      <c r="J87" s="44"/>
      <c r="K87" s="19" t="str">
        <f aca="false">IF(J87="","",J87-E87)</f>
        <v/>
      </c>
      <c r="L87" s="17" t="str">
        <f aca="false">IF(J87="",$E$4,IF(ABS(J87-E87)&lt;=G87+0.0000001,$E$5,IF(ABS(J87-E87)&lt;=I87,$E$6,$E$7)))</f>
        <v>offen</v>
      </c>
    </row>
    <row r="88" customFormat="false" ht="35.05" hidden="false" customHeight="false" outlineLevel="0" collapsed="false">
      <c r="A88" s="6" t="s">
        <v>998</v>
      </c>
      <c r="B88" s="6" t="s">
        <v>950</v>
      </c>
      <c r="C88" s="6" t="s">
        <v>357</v>
      </c>
      <c r="D88" s="6" t="s">
        <v>995</v>
      </c>
      <c r="E88" s="26" t="n">
        <f aca="false">CMO_Tab5!K21</f>
        <v>90</v>
      </c>
      <c r="F88" s="25" t="n">
        <v>0</v>
      </c>
      <c r="G88" s="19" t="n">
        <f aca="false">0.5*10^(-F88)</f>
        <v>0.5</v>
      </c>
      <c r="H88" s="6" t="s">
        <v>954</v>
      </c>
      <c r="I88" s="19" t="n">
        <f aca="false">IF(H88="Anteil",$C$4,IF(H88="Zählwert",MAX($C$6,$C$5*ABS(E88)),$C$5*ABS(E88)))</f>
        <v>4.5</v>
      </c>
      <c r="J88" s="44"/>
      <c r="K88" s="19" t="str">
        <f aca="false">IF(J88="","",J88-E88)</f>
        <v/>
      </c>
      <c r="L88" s="17" t="str">
        <f aca="false">IF(J88="",$E$4,IF(ABS(J88-E88)&lt;=G88+0.0000001,$E$5,IF(ABS(J88-E88)&lt;=I88,$E$6,$E$7)))</f>
        <v>offen</v>
      </c>
    </row>
    <row r="89" customFormat="false" ht="35.05" hidden="false" customHeight="false" outlineLevel="0" collapsed="false">
      <c r="A89" s="6" t="s">
        <v>999</v>
      </c>
      <c r="B89" s="6" t="s">
        <v>950</v>
      </c>
      <c r="C89" s="6" t="s">
        <v>358</v>
      </c>
      <c r="D89" s="6" t="s">
        <v>995</v>
      </c>
      <c r="E89" s="26" t="n">
        <f aca="false">CMO_Tab5!L21</f>
        <v>20</v>
      </c>
      <c r="F89" s="25" t="n">
        <v>0</v>
      </c>
      <c r="G89" s="19" t="n">
        <f aca="false">0.5*10^(-F89)</f>
        <v>0.5</v>
      </c>
      <c r="H89" s="6" t="s">
        <v>954</v>
      </c>
      <c r="I89" s="19" t="n">
        <f aca="false">IF(H89="Anteil",$C$4,IF(H89="Zählwert",MAX($C$6,$C$5*ABS(E89)),$C$5*ABS(E89)))</f>
        <v>2</v>
      </c>
      <c r="J89" s="44"/>
      <c r="K89" s="19" t="str">
        <f aca="false">IF(J89="","",J89-E89)</f>
        <v/>
      </c>
      <c r="L89" s="17" t="str">
        <f aca="false">IF(J89="",$E$4,IF(ABS(J89-E89)&lt;=G89+0.0000001,$E$5,IF(ABS(J89-E89)&lt;=I89,$E$6,$E$7)))</f>
        <v>offen</v>
      </c>
    </row>
    <row r="90" customFormat="false" ht="35.05" hidden="false" customHeight="false" outlineLevel="0" collapsed="false">
      <c r="A90" s="6" t="s">
        <v>1000</v>
      </c>
      <c r="B90" s="6" t="s">
        <v>950</v>
      </c>
      <c r="C90" s="6" t="s">
        <v>951</v>
      </c>
      <c r="D90" s="6" t="s">
        <v>1001</v>
      </c>
      <c r="E90" s="27" t="n">
        <f aca="false">CMO_Tab5!H22</f>
        <v>1</v>
      </c>
      <c r="F90" s="25" t="n">
        <v>1</v>
      </c>
      <c r="G90" s="19" t="n">
        <f aca="false">0.5*10^(-F90)</f>
        <v>0.05</v>
      </c>
      <c r="H90" s="6" t="s">
        <v>872</v>
      </c>
      <c r="I90" s="19" t="n">
        <f aca="false">IF(H90="Anteil",$C$4,IF(H90="Zählwert",MAX($C$6,$C$5*ABS(E90)),$C$5*ABS(E90)))</f>
        <v>0.03</v>
      </c>
      <c r="J90" s="44"/>
      <c r="K90" s="19" t="str">
        <f aca="false">IF(J90="","",J90-E90)</f>
        <v/>
      </c>
      <c r="L90" s="17" t="str">
        <f aca="false">IF(J90="",$E$4,IF(ABS(J90-E90)&lt;=G90+0.0000001,$E$5,IF(ABS(J90-E90)&lt;=I90,$E$6,$E$7)))</f>
        <v>offen</v>
      </c>
    </row>
    <row r="91" customFormat="false" ht="35.05" hidden="false" customHeight="false" outlineLevel="0" collapsed="false">
      <c r="A91" s="6" t="s">
        <v>1002</v>
      </c>
      <c r="B91" s="6" t="s">
        <v>950</v>
      </c>
      <c r="C91" s="6" t="s">
        <v>356</v>
      </c>
      <c r="D91" s="6" t="s">
        <v>1001</v>
      </c>
      <c r="E91" s="26" t="n">
        <f aca="false">CMO_Tab5!I22</f>
        <v>0</v>
      </c>
      <c r="F91" s="25" t="n">
        <v>0</v>
      </c>
      <c r="G91" s="19" t="n">
        <f aca="false">0.5*10^(-F91)</f>
        <v>0.5</v>
      </c>
      <c r="H91" s="6" t="s">
        <v>954</v>
      </c>
      <c r="I91" s="19" t="n">
        <f aca="false">IF(H91="Anteil",$C$4,IF(H91="Zählwert",MAX($C$6,$C$5*ABS(E91)),$C$5*ABS(E91)))</f>
        <v>2</v>
      </c>
      <c r="J91" s="44"/>
      <c r="K91" s="19" t="str">
        <f aca="false">IF(J91="","",J91-E91)</f>
        <v/>
      </c>
      <c r="L91" s="17" t="str">
        <f aca="false">IF(J91="",$E$4,IF(ABS(J91-E91)&lt;=G91+0.0000001,$E$5,IF(ABS(J91-E91)&lt;=I91,$E$6,$E$7)))</f>
        <v>offen</v>
      </c>
    </row>
    <row r="92" customFormat="false" ht="35.05" hidden="false" customHeight="false" outlineLevel="0" collapsed="false">
      <c r="A92" s="6" t="s">
        <v>1003</v>
      </c>
      <c r="B92" s="6" t="s">
        <v>950</v>
      </c>
      <c r="C92" s="6" t="s">
        <v>240</v>
      </c>
      <c r="D92" s="6" t="s">
        <v>1001</v>
      </c>
      <c r="E92" s="26" t="n">
        <f aca="false">CMO_Tab5!J22</f>
        <v>0</v>
      </c>
      <c r="F92" s="25" t="n">
        <v>0</v>
      </c>
      <c r="G92" s="19" t="n">
        <f aca="false">0.5*10^(-F92)</f>
        <v>0.5</v>
      </c>
      <c r="H92" s="6" t="s">
        <v>954</v>
      </c>
      <c r="I92" s="19" t="n">
        <f aca="false">IF(H92="Anteil",$C$4,IF(H92="Zählwert",MAX($C$6,$C$5*ABS(E92)),$C$5*ABS(E92)))</f>
        <v>2</v>
      </c>
      <c r="J92" s="44"/>
      <c r="K92" s="19" t="str">
        <f aca="false">IF(J92="","",J92-E92)</f>
        <v/>
      </c>
      <c r="L92" s="17" t="str">
        <f aca="false">IF(J92="",$E$4,IF(ABS(J92-E92)&lt;=G92+0.0000001,$E$5,IF(ABS(J92-E92)&lt;=I92,$E$6,$E$7)))</f>
        <v>offen</v>
      </c>
    </row>
    <row r="93" customFormat="false" ht="35.05" hidden="false" customHeight="false" outlineLevel="0" collapsed="false">
      <c r="A93" s="6" t="s">
        <v>1004</v>
      </c>
      <c r="B93" s="6" t="s">
        <v>950</v>
      </c>
      <c r="C93" s="6" t="s">
        <v>357</v>
      </c>
      <c r="D93" s="6" t="s">
        <v>1001</v>
      </c>
      <c r="E93" s="26" t="n">
        <f aca="false">CMO_Tab5!K22</f>
        <v>100</v>
      </c>
      <c r="F93" s="25" t="n">
        <v>0</v>
      </c>
      <c r="G93" s="19" t="n">
        <f aca="false">0.5*10^(-F93)</f>
        <v>0.5</v>
      </c>
      <c r="H93" s="6" t="s">
        <v>954</v>
      </c>
      <c r="I93" s="19" t="n">
        <f aca="false">IF(H93="Anteil",$C$4,IF(H93="Zählwert",MAX($C$6,$C$5*ABS(E93)),$C$5*ABS(E93)))</f>
        <v>5</v>
      </c>
      <c r="J93" s="44"/>
      <c r="K93" s="19" t="str">
        <f aca="false">IF(J93="","",J93-E93)</f>
        <v/>
      </c>
      <c r="L93" s="17" t="str">
        <f aca="false">IF(J93="",$E$4,IF(ABS(J93-E93)&lt;=G93+0.0000001,$E$5,IF(ABS(J93-E93)&lt;=I93,$E$6,$E$7)))</f>
        <v>offen</v>
      </c>
    </row>
    <row r="94" customFormat="false" ht="35.05" hidden="false" customHeight="false" outlineLevel="0" collapsed="false">
      <c r="A94" s="6" t="s">
        <v>1005</v>
      </c>
      <c r="B94" s="6" t="s">
        <v>950</v>
      </c>
      <c r="C94" s="6" t="s">
        <v>358</v>
      </c>
      <c r="D94" s="6" t="s">
        <v>1001</v>
      </c>
      <c r="E94" s="26" t="n">
        <f aca="false">CMO_Tab5!L22</f>
        <v>0</v>
      </c>
      <c r="F94" s="25" t="n">
        <v>0</v>
      </c>
      <c r="G94" s="19" t="n">
        <f aca="false">0.5*10^(-F94)</f>
        <v>0.5</v>
      </c>
      <c r="H94" s="6" t="s">
        <v>954</v>
      </c>
      <c r="I94" s="19" t="n">
        <f aca="false">IF(H94="Anteil",$C$4,IF(H94="Zählwert",MAX($C$6,$C$5*ABS(E94)),$C$5*ABS(E94)))</f>
        <v>2</v>
      </c>
      <c r="J94" s="44"/>
      <c r="K94" s="19" t="str">
        <f aca="false">IF(J94="","",J94-E94)</f>
        <v/>
      </c>
      <c r="L94" s="17" t="str">
        <f aca="false">IF(J94="",$E$4,IF(ABS(J94-E94)&lt;=G94+0.0000001,$E$5,IF(ABS(J94-E94)&lt;=I94,$E$6,$E$7)))</f>
        <v>offen</v>
      </c>
    </row>
    <row r="95" customFormat="false" ht="35.05" hidden="false" customHeight="false" outlineLevel="0" collapsed="false">
      <c r="A95" s="6" t="s">
        <v>1006</v>
      </c>
      <c r="B95" s="6" t="s">
        <v>950</v>
      </c>
      <c r="C95" s="6" t="s">
        <v>951</v>
      </c>
      <c r="D95" s="6" t="s">
        <v>1007</v>
      </c>
      <c r="E95" s="27" t="n">
        <f aca="false">CMO_Tab5!H23</f>
        <v>0.54</v>
      </c>
      <c r="F95" s="25" t="n">
        <v>2</v>
      </c>
      <c r="G95" s="19" t="n">
        <f aca="false">0.5*10^(-F95)</f>
        <v>0.005</v>
      </c>
      <c r="H95" s="6" t="s">
        <v>872</v>
      </c>
      <c r="I95" s="19" t="n">
        <f aca="false">IF(H95="Anteil",$C$4,IF(H95="Zählwert",MAX($C$6,$C$5*ABS(E95)),$C$5*ABS(E95)))</f>
        <v>0.03</v>
      </c>
      <c r="J95" s="44"/>
      <c r="K95" s="19" t="str">
        <f aca="false">IF(J95="","",J95-E95)</f>
        <v/>
      </c>
      <c r="L95" s="17" t="str">
        <f aca="false">IF(J95="",$E$4,IF(ABS(J95-E95)&lt;=G95+0.0000001,$E$5,IF(ABS(J95-E95)&lt;=I95,$E$6,$E$7)))</f>
        <v>offen</v>
      </c>
    </row>
    <row r="96" customFormat="false" ht="35.05" hidden="false" customHeight="false" outlineLevel="0" collapsed="false">
      <c r="A96" s="6" t="s">
        <v>1008</v>
      </c>
      <c r="B96" s="6" t="s">
        <v>950</v>
      </c>
      <c r="C96" s="6" t="s">
        <v>356</v>
      </c>
      <c r="D96" s="6" t="s">
        <v>1007</v>
      </c>
      <c r="E96" s="26" t="n">
        <f aca="false">CMO_Tab5!I23</f>
        <v>158</v>
      </c>
      <c r="F96" s="25" t="n">
        <v>0</v>
      </c>
      <c r="G96" s="19" t="n">
        <f aca="false">0.5*10^(-F96)</f>
        <v>0.5</v>
      </c>
      <c r="H96" s="6" t="s">
        <v>954</v>
      </c>
      <c r="I96" s="19" t="n">
        <f aca="false">IF(H96="Anteil",$C$4,IF(H96="Zählwert",MAX($C$6,$C$5*ABS(E96)),$C$5*ABS(E96)))</f>
        <v>7.9</v>
      </c>
      <c r="J96" s="44"/>
      <c r="K96" s="19" t="str">
        <f aca="false">IF(J96="","",J96-E96)</f>
        <v/>
      </c>
      <c r="L96" s="17" t="str">
        <f aca="false">IF(J96="",$E$4,IF(ABS(J96-E96)&lt;=G96+0.0000001,$E$5,IF(ABS(J96-E96)&lt;=I96,$E$6,$E$7)))</f>
        <v>offen</v>
      </c>
    </row>
    <row r="97" customFormat="false" ht="35.05" hidden="false" customHeight="false" outlineLevel="0" collapsed="false">
      <c r="A97" s="6" t="s">
        <v>1009</v>
      </c>
      <c r="B97" s="6" t="s">
        <v>950</v>
      </c>
      <c r="C97" s="6" t="s">
        <v>240</v>
      </c>
      <c r="D97" s="6" t="s">
        <v>1007</v>
      </c>
      <c r="E97" s="26" t="n">
        <f aca="false">CMO_Tab5!J23</f>
        <v>127</v>
      </c>
      <c r="F97" s="25" t="n">
        <v>0</v>
      </c>
      <c r="G97" s="19" t="n">
        <f aca="false">0.5*10^(-F97)</f>
        <v>0.5</v>
      </c>
      <c r="H97" s="6" t="s">
        <v>954</v>
      </c>
      <c r="I97" s="19" t="n">
        <f aca="false">IF(H97="Anteil",$C$4,IF(H97="Zählwert",MAX($C$6,$C$5*ABS(E97)),$C$5*ABS(E97)))</f>
        <v>6.35</v>
      </c>
      <c r="J97" s="44"/>
      <c r="K97" s="19" t="str">
        <f aca="false">IF(J97="","",J97-E97)</f>
        <v/>
      </c>
      <c r="L97" s="17" t="str">
        <f aca="false">IF(J97="",$E$4,IF(ABS(J97-E97)&lt;=G97+0.0000001,$E$5,IF(ABS(J97-E97)&lt;=I97,$E$6,$E$7)))</f>
        <v>offen</v>
      </c>
    </row>
    <row r="98" customFormat="false" ht="35.05" hidden="false" customHeight="false" outlineLevel="0" collapsed="false">
      <c r="A98" s="6" t="s">
        <v>1010</v>
      </c>
      <c r="B98" s="6" t="s">
        <v>950</v>
      </c>
      <c r="C98" s="6" t="s">
        <v>357</v>
      </c>
      <c r="D98" s="6" t="s">
        <v>1007</v>
      </c>
      <c r="E98" s="26" t="n">
        <f aca="false">CMO_Tab5!K23</f>
        <v>15</v>
      </c>
      <c r="F98" s="25" t="n">
        <v>0</v>
      </c>
      <c r="G98" s="19" t="n">
        <f aca="false">0.5*10^(-F98)</f>
        <v>0.5</v>
      </c>
      <c r="H98" s="6" t="s">
        <v>954</v>
      </c>
      <c r="I98" s="19" t="n">
        <f aca="false">IF(H98="Anteil",$C$4,IF(H98="Zählwert",MAX($C$6,$C$5*ABS(E98)),$C$5*ABS(E98)))</f>
        <v>2</v>
      </c>
      <c r="J98" s="44"/>
      <c r="K98" s="19" t="str">
        <f aca="false">IF(J98="","",J98-E98)</f>
        <v/>
      </c>
      <c r="L98" s="17" t="str">
        <f aca="false">IF(J98="",$E$4,IF(ABS(J98-E98)&lt;=G98+0.0000001,$E$5,IF(ABS(J98-E98)&lt;=I98,$E$6,$E$7)))</f>
        <v>offen</v>
      </c>
    </row>
    <row r="99" customFormat="false" ht="35.05" hidden="false" customHeight="false" outlineLevel="0" collapsed="false">
      <c r="A99" s="6" t="s">
        <v>1011</v>
      </c>
      <c r="B99" s="6" t="s">
        <v>950</v>
      </c>
      <c r="C99" s="6" t="s">
        <v>358</v>
      </c>
      <c r="D99" s="6" t="s">
        <v>1007</v>
      </c>
      <c r="E99" s="26" t="n">
        <f aca="false">CMO_Tab5!L23</f>
        <v>83</v>
      </c>
      <c r="F99" s="25" t="n">
        <v>0</v>
      </c>
      <c r="G99" s="19" t="n">
        <f aca="false">0.5*10^(-F99)</f>
        <v>0.5</v>
      </c>
      <c r="H99" s="6" t="s">
        <v>954</v>
      </c>
      <c r="I99" s="19" t="n">
        <f aca="false">IF(H99="Anteil",$C$4,IF(H99="Zählwert",MAX($C$6,$C$5*ABS(E99)),$C$5*ABS(E99)))</f>
        <v>4.15</v>
      </c>
      <c r="J99" s="44"/>
      <c r="K99" s="19" t="str">
        <f aca="false">IF(J99="","",J99-E99)</f>
        <v/>
      </c>
      <c r="L99" s="17" t="str">
        <f aca="false">IF(J99="",$E$4,IF(ABS(J99-E99)&lt;=G99+0.0000001,$E$5,IF(ABS(J99-E99)&lt;=I99,$E$6,$E$7)))</f>
        <v>offen</v>
      </c>
    </row>
    <row r="100" customFormat="false" ht="35.05" hidden="false" customHeight="false" outlineLevel="0" collapsed="false">
      <c r="A100" s="6" t="s">
        <v>1012</v>
      </c>
      <c r="B100" s="6" t="s">
        <v>950</v>
      </c>
      <c r="C100" s="6" t="s">
        <v>951</v>
      </c>
      <c r="D100" s="6" t="s">
        <v>1013</v>
      </c>
      <c r="E100" s="27" t="n">
        <f aca="false">CMO_Tab5!H24</f>
        <v>0.61</v>
      </c>
      <c r="F100" s="25" t="n">
        <v>2</v>
      </c>
      <c r="G100" s="19" t="n">
        <f aca="false">0.5*10^(-F100)</f>
        <v>0.005</v>
      </c>
      <c r="H100" s="6" t="s">
        <v>872</v>
      </c>
      <c r="I100" s="19" t="n">
        <f aca="false">IF(H100="Anteil",$C$4,IF(H100="Zählwert",MAX($C$6,$C$5*ABS(E100)),$C$5*ABS(E100)))</f>
        <v>0.03</v>
      </c>
      <c r="J100" s="44"/>
      <c r="K100" s="19" t="str">
        <f aca="false">IF(J100="","",J100-E100)</f>
        <v/>
      </c>
      <c r="L100" s="17" t="str">
        <f aca="false">IF(J100="",$E$4,IF(ABS(J100-E100)&lt;=G100+0.0000001,$E$5,IF(ABS(J100-E100)&lt;=I100,$E$6,$E$7)))</f>
        <v>offen</v>
      </c>
    </row>
    <row r="101" customFormat="false" ht="35.05" hidden="false" customHeight="false" outlineLevel="0" collapsed="false">
      <c r="A101" s="6" t="s">
        <v>1014</v>
      </c>
      <c r="B101" s="6" t="s">
        <v>950</v>
      </c>
      <c r="C101" s="6" t="s">
        <v>356</v>
      </c>
      <c r="D101" s="6" t="s">
        <v>1013</v>
      </c>
      <c r="E101" s="26" t="n">
        <f aca="false">CMO_Tab5!I24</f>
        <v>101</v>
      </c>
      <c r="F101" s="25" t="n">
        <v>0</v>
      </c>
      <c r="G101" s="19" t="n">
        <f aca="false">0.5*10^(-F101)</f>
        <v>0.5</v>
      </c>
      <c r="H101" s="6" t="s">
        <v>954</v>
      </c>
      <c r="I101" s="19" t="n">
        <f aca="false">IF(H101="Anteil",$C$4,IF(H101="Zählwert",MAX($C$6,$C$5*ABS(E101)),$C$5*ABS(E101)))</f>
        <v>5.05</v>
      </c>
      <c r="J101" s="44"/>
      <c r="K101" s="19" t="str">
        <f aca="false">IF(J101="","",J101-E101)</f>
        <v/>
      </c>
      <c r="L101" s="17" t="str">
        <f aca="false">IF(J101="",$E$4,IF(ABS(J101-E101)&lt;=G101+0.0000001,$E$5,IF(ABS(J101-E101)&lt;=I101,$E$6,$E$7)))</f>
        <v>offen</v>
      </c>
    </row>
    <row r="102" customFormat="false" ht="35.05" hidden="false" customHeight="false" outlineLevel="0" collapsed="false">
      <c r="A102" s="6" t="s">
        <v>1015</v>
      </c>
      <c r="B102" s="6" t="s">
        <v>950</v>
      </c>
      <c r="C102" s="6" t="s">
        <v>240</v>
      </c>
      <c r="D102" s="6" t="s">
        <v>1013</v>
      </c>
      <c r="E102" s="26" t="n">
        <f aca="false">CMO_Tab5!J24</f>
        <v>148</v>
      </c>
      <c r="F102" s="25" t="n">
        <v>0</v>
      </c>
      <c r="G102" s="19" t="n">
        <f aca="false">0.5*10^(-F102)</f>
        <v>0.5</v>
      </c>
      <c r="H102" s="6" t="s">
        <v>954</v>
      </c>
      <c r="I102" s="19" t="n">
        <f aca="false">IF(H102="Anteil",$C$4,IF(H102="Zählwert",MAX($C$6,$C$5*ABS(E102)),$C$5*ABS(E102)))</f>
        <v>7.4</v>
      </c>
      <c r="J102" s="44"/>
      <c r="K102" s="19" t="str">
        <f aca="false">IF(J102="","",J102-E102)</f>
        <v/>
      </c>
      <c r="L102" s="17" t="str">
        <f aca="false">IF(J102="",$E$4,IF(ABS(J102-E102)&lt;=G102+0.0000001,$E$5,IF(ABS(J102-E102)&lt;=I102,$E$6,$E$7)))</f>
        <v>offen</v>
      </c>
    </row>
    <row r="103" customFormat="false" ht="35.05" hidden="false" customHeight="false" outlineLevel="0" collapsed="false">
      <c r="A103" s="6" t="s">
        <v>1016</v>
      </c>
      <c r="B103" s="6" t="s">
        <v>950</v>
      </c>
      <c r="C103" s="6" t="s">
        <v>357</v>
      </c>
      <c r="D103" s="6" t="s">
        <v>1013</v>
      </c>
      <c r="E103" s="26" t="n">
        <f aca="false">CMO_Tab5!K24</f>
        <v>73</v>
      </c>
      <c r="F103" s="25" t="n">
        <v>0</v>
      </c>
      <c r="G103" s="19" t="n">
        <f aca="false">0.5*10^(-F103)</f>
        <v>0.5</v>
      </c>
      <c r="H103" s="6" t="s">
        <v>954</v>
      </c>
      <c r="I103" s="19" t="n">
        <f aca="false">IF(H103="Anteil",$C$4,IF(H103="Zählwert",MAX($C$6,$C$5*ABS(E103)),$C$5*ABS(E103)))</f>
        <v>3.65</v>
      </c>
      <c r="J103" s="44"/>
      <c r="K103" s="19" t="str">
        <f aca="false">IF(J103="","",J103-E103)</f>
        <v/>
      </c>
      <c r="L103" s="17" t="str">
        <f aca="false">IF(J103="",$E$4,IF(ABS(J103-E103)&lt;=G103+0.0000001,$E$5,IF(ABS(J103-E103)&lt;=I103,$E$6,$E$7)))</f>
        <v>offen</v>
      </c>
    </row>
    <row r="104" customFormat="false" ht="35.05" hidden="false" customHeight="false" outlineLevel="0" collapsed="false">
      <c r="A104" s="6" t="s">
        <v>1017</v>
      </c>
      <c r="B104" s="6" t="s">
        <v>950</v>
      </c>
      <c r="C104" s="6" t="s">
        <v>358</v>
      </c>
      <c r="D104" s="6" t="s">
        <v>1013</v>
      </c>
      <c r="E104" s="26" t="n">
        <f aca="false">CMO_Tab5!L24</f>
        <v>52</v>
      </c>
      <c r="F104" s="25" t="n">
        <v>0</v>
      </c>
      <c r="G104" s="19" t="n">
        <f aca="false">0.5*10^(-F104)</f>
        <v>0.5</v>
      </c>
      <c r="H104" s="6" t="s">
        <v>954</v>
      </c>
      <c r="I104" s="19" t="n">
        <f aca="false">IF(H104="Anteil",$C$4,IF(H104="Zählwert",MAX($C$6,$C$5*ABS(E104)),$C$5*ABS(E104)))</f>
        <v>2.6</v>
      </c>
      <c r="J104" s="44"/>
      <c r="K104" s="19" t="str">
        <f aca="false">IF(J104="","",J104-E104)</f>
        <v/>
      </c>
      <c r="L104" s="17" t="str">
        <f aca="false">IF(J104="",$E$4,IF(ABS(J104-E104)&lt;=G104+0.0000001,$E$5,IF(ABS(J104-E104)&lt;=I104,$E$6,$E$7)))</f>
        <v>offen</v>
      </c>
    </row>
    <row r="105" customFormat="false" ht="35.05" hidden="false" customHeight="false" outlineLevel="0" collapsed="false">
      <c r="A105" s="6" t="s">
        <v>1018</v>
      </c>
      <c r="B105" s="6" t="s">
        <v>950</v>
      </c>
      <c r="C105" s="6" t="s">
        <v>951</v>
      </c>
      <c r="D105" s="6" t="s">
        <v>1019</v>
      </c>
      <c r="E105" s="27" t="n">
        <f aca="false">CMO_Tab5!H25</f>
        <v>0.62</v>
      </c>
      <c r="F105" s="25" t="n">
        <v>2</v>
      </c>
      <c r="G105" s="19" t="n">
        <f aca="false">0.5*10^(-F105)</f>
        <v>0.005</v>
      </c>
      <c r="H105" s="6" t="s">
        <v>872</v>
      </c>
      <c r="I105" s="19" t="n">
        <f aca="false">IF(H105="Anteil",$C$4,IF(H105="Zählwert",MAX($C$6,$C$5*ABS(E105)),$C$5*ABS(E105)))</f>
        <v>0.03</v>
      </c>
      <c r="J105" s="44"/>
      <c r="K105" s="19" t="str">
        <f aca="false">IF(J105="","",J105-E105)</f>
        <v/>
      </c>
      <c r="L105" s="17" t="str">
        <f aca="false">IF(J105="",$E$4,IF(ABS(J105-E105)&lt;=G105+0.0000001,$E$5,IF(ABS(J105-E105)&lt;=I105,$E$6,$E$7)))</f>
        <v>offen</v>
      </c>
    </row>
    <row r="106" customFormat="false" ht="35.05" hidden="false" customHeight="false" outlineLevel="0" collapsed="false">
      <c r="A106" s="6" t="s">
        <v>1020</v>
      </c>
      <c r="B106" s="6" t="s">
        <v>950</v>
      </c>
      <c r="C106" s="6" t="s">
        <v>356</v>
      </c>
      <c r="D106" s="6" t="s">
        <v>1019</v>
      </c>
      <c r="E106" s="26" t="n">
        <f aca="false">CMO_Tab5!I25</f>
        <v>78</v>
      </c>
      <c r="F106" s="25" t="n">
        <v>0</v>
      </c>
      <c r="G106" s="19" t="n">
        <f aca="false">0.5*10^(-F106)</f>
        <v>0.5</v>
      </c>
      <c r="H106" s="6" t="s">
        <v>954</v>
      </c>
      <c r="I106" s="19" t="n">
        <f aca="false">IF(H106="Anteil",$C$4,IF(H106="Zählwert",MAX($C$6,$C$5*ABS(E106)),$C$5*ABS(E106)))</f>
        <v>3.9</v>
      </c>
      <c r="J106" s="44"/>
      <c r="K106" s="19" t="str">
        <f aca="false">IF(J106="","",J106-E106)</f>
        <v/>
      </c>
      <c r="L106" s="17" t="str">
        <f aca="false">IF(J106="",$E$4,IF(ABS(J106-E106)&lt;=G106+0.0000001,$E$5,IF(ABS(J106-E106)&lt;=I106,$E$6,$E$7)))</f>
        <v>offen</v>
      </c>
    </row>
    <row r="107" customFormat="false" ht="35.05" hidden="false" customHeight="false" outlineLevel="0" collapsed="false">
      <c r="A107" s="6" t="s">
        <v>1021</v>
      </c>
      <c r="B107" s="6" t="s">
        <v>950</v>
      </c>
      <c r="C107" s="6" t="s">
        <v>240</v>
      </c>
      <c r="D107" s="6" t="s">
        <v>1019</v>
      </c>
      <c r="E107" s="26" t="n">
        <f aca="false">CMO_Tab5!J25</f>
        <v>151</v>
      </c>
      <c r="F107" s="25" t="n">
        <v>0</v>
      </c>
      <c r="G107" s="19" t="n">
        <f aca="false">0.5*10^(-F107)</f>
        <v>0.5</v>
      </c>
      <c r="H107" s="6" t="s">
        <v>954</v>
      </c>
      <c r="I107" s="19" t="n">
        <f aca="false">IF(H107="Anteil",$C$4,IF(H107="Zählwert",MAX($C$6,$C$5*ABS(E107)),$C$5*ABS(E107)))</f>
        <v>7.55</v>
      </c>
      <c r="J107" s="44"/>
      <c r="K107" s="19" t="str">
        <f aca="false">IF(J107="","",J107-E107)</f>
        <v/>
      </c>
      <c r="L107" s="17" t="str">
        <f aca="false">IF(J107="",$E$4,IF(ABS(J107-E107)&lt;=G107+0.0000001,$E$5,IF(ABS(J107-E107)&lt;=I107,$E$6,$E$7)))</f>
        <v>offen</v>
      </c>
    </row>
    <row r="108" customFormat="false" ht="35.05" hidden="false" customHeight="false" outlineLevel="0" collapsed="false">
      <c r="A108" s="6" t="s">
        <v>1022</v>
      </c>
      <c r="B108" s="6" t="s">
        <v>950</v>
      </c>
      <c r="C108" s="6" t="s">
        <v>357</v>
      </c>
      <c r="D108" s="6" t="s">
        <v>1019</v>
      </c>
      <c r="E108" s="26" t="n">
        <f aca="false">CMO_Tab5!K25</f>
        <v>76</v>
      </c>
      <c r="F108" s="25" t="n">
        <v>0</v>
      </c>
      <c r="G108" s="19" t="n">
        <f aca="false">0.5*10^(-F108)</f>
        <v>0.5</v>
      </c>
      <c r="H108" s="6" t="s">
        <v>954</v>
      </c>
      <c r="I108" s="19" t="n">
        <f aca="false">IF(H108="Anteil",$C$4,IF(H108="Zählwert",MAX($C$6,$C$5*ABS(E108)),$C$5*ABS(E108)))</f>
        <v>3.8</v>
      </c>
      <c r="J108" s="44"/>
      <c r="K108" s="19" t="str">
        <f aca="false">IF(J108="","",J108-E108)</f>
        <v/>
      </c>
      <c r="L108" s="17" t="str">
        <f aca="false">IF(J108="",$E$4,IF(ABS(J108-E108)&lt;=G108+0.0000001,$E$5,IF(ABS(J108-E108)&lt;=I108,$E$6,$E$7)))</f>
        <v>offen</v>
      </c>
    </row>
    <row r="109" customFormat="false" ht="35.05" hidden="false" customHeight="false" outlineLevel="0" collapsed="false">
      <c r="A109" s="6" t="s">
        <v>1023</v>
      </c>
      <c r="B109" s="6" t="s">
        <v>950</v>
      </c>
      <c r="C109" s="6" t="s">
        <v>358</v>
      </c>
      <c r="D109" s="6" t="s">
        <v>1019</v>
      </c>
      <c r="E109" s="26" t="n">
        <f aca="false">CMO_Tab5!L25</f>
        <v>39</v>
      </c>
      <c r="F109" s="25" t="n">
        <v>0</v>
      </c>
      <c r="G109" s="19" t="n">
        <f aca="false">0.5*10^(-F109)</f>
        <v>0.5</v>
      </c>
      <c r="H109" s="6" t="s">
        <v>954</v>
      </c>
      <c r="I109" s="19" t="n">
        <f aca="false">IF(H109="Anteil",$C$4,IF(H109="Zählwert",MAX($C$6,$C$5*ABS(E109)),$C$5*ABS(E109)))</f>
        <v>2</v>
      </c>
      <c r="J109" s="44"/>
      <c r="K109" s="19" t="str">
        <f aca="false">IF(J109="","",J109-E109)</f>
        <v/>
      </c>
      <c r="L109" s="17" t="str">
        <f aca="false">IF(J109="",$E$4,IF(ABS(J109-E109)&lt;=G109+0.0000001,$E$5,IF(ABS(J109-E109)&lt;=I109,$E$6,$E$7)))</f>
        <v>offen</v>
      </c>
    </row>
    <row r="110" customFormat="false" ht="23.85" hidden="false" customHeight="false" outlineLevel="0" collapsed="false">
      <c r="A110" s="6" t="s">
        <v>1024</v>
      </c>
      <c r="B110" s="6" t="s">
        <v>1025</v>
      </c>
      <c r="C110" s="6" t="s">
        <v>1026</v>
      </c>
      <c r="D110" s="6" t="s">
        <v>896</v>
      </c>
      <c r="E110" s="45" t="n">
        <f aca="false">CMO_Textwerte!B5</f>
        <v>1</v>
      </c>
      <c r="F110" s="25" t="n">
        <v>1</v>
      </c>
      <c r="G110" s="19" t="n">
        <f aca="false">0.5*10^(-F110)</f>
        <v>0.05</v>
      </c>
      <c r="H110" s="6" t="s">
        <v>906</v>
      </c>
      <c r="I110" s="19" t="n">
        <f aca="false">IF(H110="Anteil",$C$4,IF(H110="Zählwert",MAX($C$6,$C$5*ABS(E110)),$C$5*ABS(E110)))</f>
        <v>0.05</v>
      </c>
      <c r="J110" s="44" t="n">
        <v>1.05</v>
      </c>
      <c r="K110" s="19" t="n">
        <f aca="false">IF(J110="","",J110-E110)</f>
        <v>0.05</v>
      </c>
      <c r="L110" s="17" t="str">
        <f aca="false">IF(J110="",$E$4,IF(ABS(J110-E110)&lt;=G110+0.0000001,$E$5,IF(ABS(J110-E110)&lt;=I110,$E$6,$E$7)))</f>
        <v>identisch im Rahmen der Rundung</v>
      </c>
    </row>
    <row r="111" customFormat="false" ht="23.85" hidden="false" customHeight="false" outlineLevel="0" collapsed="false">
      <c r="A111" s="6" t="s">
        <v>1027</v>
      </c>
      <c r="B111" s="6" t="s">
        <v>1025</v>
      </c>
      <c r="C111" s="6" t="s">
        <v>1028</v>
      </c>
      <c r="D111" s="6" t="s">
        <v>896</v>
      </c>
      <c r="E111" s="45" t="n">
        <f aca="false">CMO_Textwerte!B6</f>
        <v>12.3</v>
      </c>
      <c r="F111" s="25" t="n">
        <v>1</v>
      </c>
      <c r="G111" s="19" t="n">
        <f aca="false">0.5*10^(-F111)</f>
        <v>0.05</v>
      </c>
      <c r="H111" s="6" t="s">
        <v>906</v>
      </c>
      <c r="I111" s="19" t="n">
        <f aca="false">IF(H111="Anteil",$C$4,IF(H111="Zählwert",MAX($C$6,$C$5*ABS(E111)),$C$5*ABS(E111)))</f>
        <v>0.615</v>
      </c>
      <c r="J111" s="44" t="n">
        <v>12</v>
      </c>
      <c r="K111" s="19" t="n">
        <f aca="false">IF(J111="","",J111-E111)</f>
        <v>-0.300000000000001</v>
      </c>
      <c r="L111" s="17" t="str">
        <f aca="false">IF(J111="",$E$4,IF(ABS(J111-E111)&lt;=G111+0.0000001,$E$5,IF(ABS(J111-E111)&lt;=I111,$E$6,$E$7)))</f>
        <v>innerhalb Toleranz</v>
      </c>
    </row>
  </sheetData>
  <autoFilter ref="A10:L111"/>
  <mergeCells count="3">
    <mergeCell ref="A4:B4"/>
    <mergeCell ref="A5:B5"/>
    <mergeCell ref="A6:B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18"/>
    <col collapsed="false" customWidth="true" hidden="false" outlineLevel="0" max="4" min="4" style="0" width="40"/>
    <col collapsed="false" customWidth="true" hidden="false" outlineLevel="0" max="5" min="5" style="0" width="30"/>
    <col collapsed="false" customWidth="true" hidden="false" outlineLevel="0" max="6" min="6" style="0" width="24"/>
    <col collapsed="false" customWidth="true" hidden="false" outlineLevel="0" max="17" min="7" style="0" width="14"/>
    <col collapsed="false" customWidth="true" hidden="false" outlineLevel="0" max="18" min="18" style="0" width="12"/>
    <col collapsed="false" customWidth="true" hidden="false" outlineLevel="0" max="19" min="19" style="0" width="16"/>
    <col collapsed="false" customWidth="true" hidden="false" outlineLevel="0" max="20" min="20" style="0" width="20"/>
    <col collapsed="false" customWidth="true" hidden="false" outlineLevel="0" max="21" min="21" style="0" width="26"/>
    <col collapsed="false" customWidth="true" hidden="false" outlineLevel="0" max="22" min="22" style="0" width="40"/>
    <col collapsed="false" customWidth="true" hidden="false" outlineLevel="0" max="23" min="23" style="0" width="50"/>
    <col collapsed="false" customWidth="true" hidden="false" outlineLevel="0" max="25" min="24" style="0" width="14"/>
  </cols>
  <sheetData>
    <row r="1" customFormat="false" ht="17.35" hidden="false" customHeight="false" outlineLevel="0" collapsed="false">
      <c r="A1" s="1" t="s">
        <v>1029</v>
      </c>
    </row>
    <row r="2" customFormat="false" ht="15" hidden="false" customHeight="false" outlineLevel="0" collapsed="false">
      <c r="A2" s="2" t="s">
        <v>1030</v>
      </c>
    </row>
    <row r="4" customFormat="false" ht="15" hidden="false" customHeight="false" outlineLevel="0" collapsed="false">
      <c r="A4" s="4" t="s">
        <v>1031</v>
      </c>
      <c r="B4" s="4" t="s">
        <v>1032</v>
      </c>
      <c r="C4" s="4" t="s">
        <v>1033</v>
      </c>
      <c r="D4" s="4" t="s">
        <v>1034</v>
      </c>
      <c r="E4" s="4" t="s">
        <v>1035</v>
      </c>
      <c r="F4" s="4" t="s">
        <v>1036</v>
      </c>
      <c r="G4" s="4" t="s">
        <v>1037</v>
      </c>
      <c r="H4" s="4" t="s">
        <v>1038</v>
      </c>
      <c r="I4" s="4" t="s">
        <v>1039</v>
      </c>
      <c r="J4" s="4" t="s">
        <v>1040</v>
      </c>
      <c r="K4" s="4" t="s">
        <v>1041</v>
      </c>
      <c r="L4" s="4" t="s">
        <v>1042</v>
      </c>
      <c r="M4" s="4" t="s">
        <v>1043</v>
      </c>
      <c r="N4" s="4" t="s">
        <v>1044</v>
      </c>
      <c r="O4" s="4" t="s">
        <v>1045</v>
      </c>
      <c r="P4" s="4" t="s">
        <v>1046</v>
      </c>
      <c r="Q4" s="4" t="s">
        <v>1047</v>
      </c>
      <c r="R4" s="4" t="s">
        <v>1048</v>
      </c>
      <c r="S4" s="4" t="s">
        <v>1049</v>
      </c>
      <c r="T4" s="4" t="s">
        <v>1050</v>
      </c>
      <c r="U4" s="4" t="s">
        <v>1051</v>
      </c>
      <c r="V4" s="4" t="s">
        <v>1052</v>
      </c>
      <c r="W4" s="4" t="s">
        <v>1053</v>
      </c>
      <c r="X4" s="4" t="s">
        <v>1054</v>
      </c>
      <c r="Y4" s="4" t="s">
        <v>1055</v>
      </c>
    </row>
    <row r="5" customFormat="false" ht="15" hidden="false" customHeight="false" outlineLevel="0" collapsed="false">
      <c r="A5" s="46" t="s">
        <v>868</v>
      </c>
      <c r="B5" s="46" t="s">
        <v>1056</v>
      </c>
      <c r="C5" s="46" t="s">
        <v>869</v>
      </c>
      <c r="D5" s="46" t="s">
        <v>870</v>
      </c>
      <c r="E5" s="46" t="s">
        <v>1057</v>
      </c>
      <c r="F5" s="46" t="s">
        <v>1058</v>
      </c>
      <c r="G5" s="46" t="s">
        <v>288</v>
      </c>
      <c r="H5" s="46" t="s">
        <v>1059</v>
      </c>
      <c r="I5" s="46" t="s">
        <v>1059</v>
      </c>
      <c r="J5" s="46" t="s">
        <v>1059</v>
      </c>
      <c r="K5" s="46"/>
      <c r="L5" s="46"/>
      <c r="M5" s="46"/>
      <c r="N5" s="46"/>
      <c r="O5" s="46"/>
      <c r="P5" s="46"/>
      <c r="Q5" s="46"/>
      <c r="R5" s="47" t="n">
        <f aca="false">CMO_Tab1!B5</f>
        <v>0.55</v>
      </c>
      <c r="S5" s="46" t="s">
        <v>1060</v>
      </c>
      <c r="T5" s="46" t="s">
        <v>33</v>
      </c>
      <c r="U5" s="46" t="s">
        <v>1061</v>
      </c>
      <c r="V5" s="46" t="s">
        <v>1062</v>
      </c>
      <c r="W5" s="46" t="s">
        <v>1063</v>
      </c>
      <c r="X5" s="46" t="s">
        <v>1064</v>
      </c>
      <c r="Y5" s="46" t="s">
        <v>1065</v>
      </c>
    </row>
    <row r="6" customFormat="false" ht="15" hidden="false" customHeight="false" outlineLevel="0" collapsed="false">
      <c r="A6" s="46" t="s">
        <v>873</v>
      </c>
      <c r="B6" s="46" t="s">
        <v>1056</v>
      </c>
      <c r="C6" s="46" t="s">
        <v>869</v>
      </c>
      <c r="D6" s="46" t="s">
        <v>870</v>
      </c>
      <c r="E6" s="46" t="s">
        <v>1057</v>
      </c>
      <c r="F6" s="46" t="s">
        <v>1058</v>
      </c>
      <c r="G6" s="46" t="s">
        <v>288</v>
      </c>
      <c r="H6" s="46" t="s">
        <v>1066</v>
      </c>
      <c r="I6" s="46" t="s">
        <v>1059</v>
      </c>
      <c r="J6" s="46" t="s">
        <v>1059</v>
      </c>
      <c r="K6" s="46"/>
      <c r="L6" s="46"/>
      <c r="M6" s="46"/>
      <c r="N6" s="46"/>
      <c r="O6" s="46"/>
      <c r="P6" s="46"/>
      <c r="Q6" s="46"/>
      <c r="R6" s="47" t="n">
        <f aca="false">CMO_Tab1!C5</f>
        <v>0.38</v>
      </c>
      <c r="S6" s="46" t="s">
        <v>1067</v>
      </c>
      <c r="T6" s="46" t="s">
        <v>33</v>
      </c>
      <c r="U6" s="46" t="s">
        <v>1061</v>
      </c>
      <c r="V6" s="46" t="s">
        <v>1068</v>
      </c>
      <c r="W6" s="46" t="s">
        <v>1063</v>
      </c>
      <c r="X6" s="46" t="s">
        <v>1064</v>
      </c>
      <c r="Y6" s="46" t="s">
        <v>1069</v>
      </c>
    </row>
    <row r="7" customFormat="false" ht="15" hidden="false" customHeight="false" outlineLevel="0" collapsed="false">
      <c r="A7" s="46" t="s">
        <v>875</v>
      </c>
      <c r="B7" s="46" t="s">
        <v>1056</v>
      </c>
      <c r="C7" s="46" t="s">
        <v>869</v>
      </c>
      <c r="D7" s="46" t="s">
        <v>870</v>
      </c>
      <c r="E7" s="46" t="s">
        <v>1057</v>
      </c>
      <c r="F7" s="46" t="s">
        <v>1058</v>
      </c>
      <c r="G7" s="46" t="s">
        <v>288</v>
      </c>
      <c r="H7" s="46" t="s">
        <v>1070</v>
      </c>
      <c r="I7" s="46" t="s">
        <v>1059</v>
      </c>
      <c r="J7" s="46" t="s">
        <v>1059</v>
      </c>
      <c r="K7" s="46"/>
      <c r="L7" s="46"/>
      <c r="M7" s="46"/>
      <c r="N7" s="46"/>
      <c r="O7" s="46"/>
      <c r="P7" s="46"/>
      <c r="Q7" s="46"/>
      <c r="R7" s="47" t="n">
        <f aca="false">CMO_Tab1!D5</f>
        <v>0.61</v>
      </c>
      <c r="S7" s="46" t="s">
        <v>1071</v>
      </c>
      <c r="T7" s="46" t="s">
        <v>33</v>
      </c>
      <c r="U7" s="46" t="s">
        <v>1061</v>
      </c>
      <c r="V7" s="46" t="s">
        <v>1068</v>
      </c>
      <c r="W7" s="46" t="s">
        <v>1063</v>
      </c>
      <c r="X7" s="46" t="s">
        <v>1064</v>
      </c>
      <c r="Y7" s="46" t="s">
        <v>1072</v>
      </c>
    </row>
    <row r="8" customFormat="false" ht="15" hidden="false" customHeight="false" outlineLevel="0" collapsed="false">
      <c r="A8" s="46" t="s">
        <v>877</v>
      </c>
      <c r="B8" s="46" t="s">
        <v>1056</v>
      </c>
      <c r="C8" s="46" t="s">
        <v>869</v>
      </c>
      <c r="D8" s="46" t="s">
        <v>870</v>
      </c>
      <c r="E8" s="46" t="s">
        <v>1057</v>
      </c>
      <c r="F8" s="46" t="s">
        <v>1058</v>
      </c>
      <c r="G8" s="46" t="s">
        <v>288</v>
      </c>
      <c r="H8" s="46" t="s">
        <v>1073</v>
      </c>
      <c r="I8" s="46" t="s">
        <v>1059</v>
      </c>
      <c r="J8" s="46" t="s">
        <v>1059</v>
      </c>
      <c r="K8" s="46"/>
      <c r="L8" s="46"/>
      <c r="M8" s="46"/>
      <c r="N8" s="46"/>
      <c r="O8" s="46"/>
      <c r="P8" s="46"/>
      <c r="Q8" s="46"/>
      <c r="R8" s="47" t="n">
        <f aca="false">CMO_Tab1!E5</f>
        <v>0.65</v>
      </c>
      <c r="S8" s="46" t="s">
        <v>1074</v>
      </c>
      <c r="T8" s="46" t="s">
        <v>33</v>
      </c>
      <c r="U8" s="46" t="s">
        <v>1061</v>
      </c>
      <c r="V8" s="46" t="s">
        <v>1068</v>
      </c>
      <c r="W8" s="46" t="s">
        <v>1063</v>
      </c>
      <c r="X8" s="46" t="s">
        <v>1064</v>
      </c>
      <c r="Y8" s="46" t="s">
        <v>1075</v>
      </c>
    </row>
    <row r="9" customFormat="false" ht="15" hidden="false" customHeight="false" outlineLevel="0" collapsed="false">
      <c r="A9" s="46" t="s">
        <v>879</v>
      </c>
      <c r="B9" s="46" t="s">
        <v>1056</v>
      </c>
      <c r="C9" s="46" t="s">
        <v>869</v>
      </c>
      <c r="D9" s="46" t="s">
        <v>870</v>
      </c>
      <c r="E9" s="46" t="s">
        <v>1057</v>
      </c>
      <c r="F9" s="46" t="s">
        <v>1058</v>
      </c>
      <c r="G9" s="46" t="s">
        <v>289</v>
      </c>
      <c r="H9" s="46" t="s">
        <v>1059</v>
      </c>
      <c r="I9" s="46" t="s">
        <v>1059</v>
      </c>
      <c r="J9" s="46" t="s">
        <v>1059</v>
      </c>
      <c r="K9" s="46"/>
      <c r="L9" s="46"/>
      <c r="M9" s="46"/>
      <c r="N9" s="46"/>
      <c r="O9" s="46"/>
      <c r="P9" s="46"/>
      <c r="Q9" s="46"/>
      <c r="R9" s="47" t="n">
        <f aca="false">CMO_Tab1!B6</f>
        <v>0.3</v>
      </c>
      <c r="S9" s="46" t="s">
        <v>1076</v>
      </c>
      <c r="T9" s="46" t="s">
        <v>33</v>
      </c>
      <c r="U9" s="46" t="s">
        <v>1061</v>
      </c>
      <c r="V9" s="46" t="s">
        <v>1062</v>
      </c>
      <c r="W9" s="46" t="s">
        <v>1063</v>
      </c>
      <c r="X9" s="46" t="s">
        <v>1064</v>
      </c>
      <c r="Y9" s="46" t="s">
        <v>1077</v>
      </c>
    </row>
    <row r="10" customFormat="false" ht="15" hidden="false" customHeight="false" outlineLevel="0" collapsed="false">
      <c r="A10" s="46" t="s">
        <v>881</v>
      </c>
      <c r="B10" s="46" t="s">
        <v>1056</v>
      </c>
      <c r="C10" s="46" t="s">
        <v>869</v>
      </c>
      <c r="D10" s="46" t="s">
        <v>870</v>
      </c>
      <c r="E10" s="46" t="s">
        <v>1057</v>
      </c>
      <c r="F10" s="46" t="s">
        <v>1058</v>
      </c>
      <c r="G10" s="46" t="s">
        <v>289</v>
      </c>
      <c r="H10" s="46" t="s">
        <v>1066</v>
      </c>
      <c r="I10" s="46" t="s">
        <v>1059</v>
      </c>
      <c r="J10" s="46" t="s">
        <v>1059</v>
      </c>
      <c r="K10" s="46"/>
      <c r="L10" s="46"/>
      <c r="M10" s="46"/>
      <c r="N10" s="46"/>
      <c r="O10" s="46"/>
      <c r="P10" s="46"/>
      <c r="Q10" s="46"/>
      <c r="R10" s="47" t="n">
        <f aca="false">CMO_Tab1!C6</f>
        <v>0.04</v>
      </c>
      <c r="S10" s="46" t="s">
        <v>1078</v>
      </c>
      <c r="T10" s="46" t="s">
        <v>33</v>
      </c>
      <c r="U10" s="46" t="s">
        <v>1061</v>
      </c>
      <c r="V10" s="46" t="s">
        <v>1068</v>
      </c>
      <c r="W10" s="46" t="s">
        <v>1063</v>
      </c>
      <c r="X10" s="46" t="s">
        <v>1064</v>
      </c>
      <c r="Y10" s="46" t="s">
        <v>1079</v>
      </c>
    </row>
    <row r="11" customFormat="false" ht="15" hidden="false" customHeight="false" outlineLevel="0" collapsed="false">
      <c r="A11" s="46" t="s">
        <v>883</v>
      </c>
      <c r="B11" s="46" t="s">
        <v>1056</v>
      </c>
      <c r="C11" s="46" t="s">
        <v>869</v>
      </c>
      <c r="D11" s="46" t="s">
        <v>870</v>
      </c>
      <c r="E11" s="46" t="s">
        <v>1057</v>
      </c>
      <c r="F11" s="46" t="s">
        <v>1058</v>
      </c>
      <c r="G11" s="46" t="s">
        <v>289</v>
      </c>
      <c r="H11" s="46" t="s">
        <v>1070</v>
      </c>
      <c r="I11" s="46" t="s">
        <v>1059</v>
      </c>
      <c r="J11" s="46" t="s">
        <v>1059</v>
      </c>
      <c r="K11" s="46"/>
      <c r="L11" s="46"/>
      <c r="M11" s="46"/>
      <c r="N11" s="46"/>
      <c r="O11" s="46"/>
      <c r="P11" s="46"/>
      <c r="Q11" s="46"/>
      <c r="R11" s="47" t="n">
        <f aca="false">CMO_Tab1!D6</f>
        <v>0.27</v>
      </c>
      <c r="S11" s="46" t="s">
        <v>1080</v>
      </c>
      <c r="T11" s="46" t="s">
        <v>33</v>
      </c>
      <c r="U11" s="46" t="s">
        <v>1061</v>
      </c>
      <c r="V11" s="46" t="s">
        <v>1068</v>
      </c>
      <c r="W11" s="46" t="s">
        <v>1063</v>
      </c>
      <c r="X11" s="46" t="s">
        <v>1064</v>
      </c>
      <c r="Y11" s="46" t="s">
        <v>1081</v>
      </c>
    </row>
    <row r="12" customFormat="false" ht="15" hidden="false" customHeight="false" outlineLevel="0" collapsed="false">
      <c r="A12" s="46" t="s">
        <v>885</v>
      </c>
      <c r="B12" s="46" t="s">
        <v>1056</v>
      </c>
      <c r="C12" s="46" t="s">
        <v>869</v>
      </c>
      <c r="D12" s="46" t="s">
        <v>870</v>
      </c>
      <c r="E12" s="46" t="s">
        <v>1057</v>
      </c>
      <c r="F12" s="46" t="s">
        <v>1058</v>
      </c>
      <c r="G12" s="46" t="s">
        <v>289</v>
      </c>
      <c r="H12" s="46" t="s">
        <v>1073</v>
      </c>
      <c r="I12" s="46" t="s">
        <v>1059</v>
      </c>
      <c r="J12" s="46" t="s">
        <v>1059</v>
      </c>
      <c r="K12" s="46"/>
      <c r="L12" s="46"/>
      <c r="M12" s="46"/>
      <c r="N12" s="46"/>
      <c r="O12" s="46"/>
      <c r="P12" s="46"/>
      <c r="Q12" s="46"/>
      <c r="R12" s="47" t="n">
        <f aca="false">CMO_Tab1!E6</f>
        <v>0.6</v>
      </c>
      <c r="S12" s="46" t="s">
        <v>1082</v>
      </c>
      <c r="T12" s="46" t="s">
        <v>33</v>
      </c>
      <c r="U12" s="46" t="s">
        <v>1061</v>
      </c>
      <c r="V12" s="46" t="s">
        <v>1068</v>
      </c>
      <c r="W12" s="46" t="s">
        <v>1063</v>
      </c>
      <c r="X12" s="46" t="s">
        <v>1064</v>
      </c>
      <c r="Y12" s="46" t="s">
        <v>1083</v>
      </c>
    </row>
    <row r="13" customFormat="false" ht="15" hidden="false" customHeight="false" outlineLevel="0" collapsed="false">
      <c r="A13" s="46" t="s">
        <v>887</v>
      </c>
      <c r="B13" s="46" t="s">
        <v>1056</v>
      </c>
      <c r="C13" s="46" t="s">
        <v>869</v>
      </c>
      <c r="D13" s="46" t="s">
        <v>870</v>
      </c>
      <c r="E13" s="46" t="s">
        <v>1057</v>
      </c>
      <c r="F13" s="46" t="s">
        <v>1058</v>
      </c>
      <c r="G13" s="46" t="s">
        <v>290</v>
      </c>
      <c r="H13" s="46" t="s">
        <v>1059</v>
      </c>
      <c r="I13" s="46" t="s">
        <v>1059</v>
      </c>
      <c r="J13" s="46" t="s">
        <v>1059</v>
      </c>
      <c r="K13" s="46"/>
      <c r="L13" s="46"/>
      <c r="M13" s="46"/>
      <c r="N13" s="46"/>
      <c r="O13" s="46"/>
      <c r="P13" s="46"/>
      <c r="Q13" s="46"/>
      <c r="R13" s="47" t="n">
        <f aca="false">CMO_Tab1!B7</f>
        <v>0.36</v>
      </c>
      <c r="S13" s="46" t="s">
        <v>1084</v>
      </c>
      <c r="T13" s="46" t="s">
        <v>33</v>
      </c>
      <c r="U13" s="46" t="s">
        <v>1061</v>
      </c>
      <c r="V13" s="46" t="s">
        <v>1062</v>
      </c>
      <c r="W13" s="46" t="s">
        <v>1063</v>
      </c>
      <c r="X13" s="46" t="s">
        <v>1064</v>
      </c>
      <c r="Y13" s="46" t="s">
        <v>1085</v>
      </c>
    </row>
    <row r="14" customFormat="false" ht="15" hidden="false" customHeight="false" outlineLevel="0" collapsed="false">
      <c r="A14" s="46" t="s">
        <v>889</v>
      </c>
      <c r="B14" s="46" t="s">
        <v>1056</v>
      </c>
      <c r="C14" s="46" t="s">
        <v>869</v>
      </c>
      <c r="D14" s="46" t="s">
        <v>870</v>
      </c>
      <c r="E14" s="46" t="s">
        <v>1057</v>
      </c>
      <c r="F14" s="46" t="s">
        <v>1058</v>
      </c>
      <c r="G14" s="46" t="s">
        <v>290</v>
      </c>
      <c r="H14" s="46" t="s">
        <v>1066</v>
      </c>
      <c r="I14" s="46" t="s">
        <v>1059</v>
      </c>
      <c r="J14" s="46" t="s">
        <v>1059</v>
      </c>
      <c r="K14" s="46"/>
      <c r="L14" s="46"/>
      <c r="M14" s="46"/>
      <c r="N14" s="46"/>
      <c r="O14" s="46"/>
      <c r="P14" s="46"/>
      <c r="Q14" s="46"/>
      <c r="R14" s="47" t="n">
        <f aca="false">CMO_Tab1!C7</f>
        <v>0.35</v>
      </c>
      <c r="S14" s="46" t="s">
        <v>1086</v>
      </c>
      <c r="T14" s="46" t="s">
        <v>33</v>
      </c>
      <c r="U14" s="46" t="s">
        <v>1061</v>
      </c>
      <c r="V14" s="46" t="s">
        <v>1068</v>
      </c>
      <c r="W14" s="46" t="s">
        <v>1063</v>
      </c>
      <c r="X14" s="46" t="s">
        <v>1064</v>
      </c>
      <c r="Y14" s="46" t="s">
        <v>1087</v>
      </c>
    </row>
    <row r="15" customFormat="false" ht="15" hidden="false" customHeight="false" outlineLevel="0" collapsed="false">
      <c r="A15" s="46" t="s">
        <v>891</v>
      </c>
      <c r="B15" s="46" t="s">
        <v>1056</v>
      </c>
      <c r="C15" s="46" t="s">
        <v>869</v>
      </c>
      <c r="D15" s="46" t="s">
        <v>870</v>
      </c>
      <c r="E15" s="46" t="s">
        <v>1057</v>
      </c>
      <c r="F15" s="46" t="s">
        <v>1058</v>
      </c>
      <c r="G15" s="46" t="s">
        <v>290</v>
      </c>
      <c r="H15" s="46" t="s">
        <v>1070</v>
      </c>
      <c r="I15" s="46" t="s">
        <v>1059</v>
      </c>
      <c r="J15" s="46" t="s">
        <v>1059</v>
      </c>
      <c r="K15" s="46"/>
      <c r="L15" s="46"/>
      <c r="M15" s="46"/>
      <c r="N15" s="46"/>
      <c r="O15" s="46"/>
      <c r="P15" s="46"/>
      <c r="Q15" s="46"/>
      <c r="R15" s="47" t="n">
        <f aca="false">CMO_Tab1!D7</f>
        <v>0.23</v>
      </c>
      <c r="S15" s="46" t="s">
        <v>1088</v>
      </c>
      <c r="T15" s="46" t="s">
        <v>33</v>
      </c>
      <c r="U15" s="46" t="s">
        <v>1061</v>
      </c>
      <c r="V15" s="46" t="s">
        <v>1068</v>
      </c>
      <c r="W15" s="46" t="s">
        <v>1063</v>
      </c>
      <c r="X15" s="46" t="s">
        <v>1064</v>
      </c>
      <c r="Y15" s="46" t="s">
        <v>1089</v>
      </c>
    </row>
    <row r="16" customFormat="false" ht="15" hidden="false" customHeight="false" outlineLevel="0" collapsed="false">
      <c r="A16" s="46" t="s">
        <v>893</v>
      </c>
      <c r="B16" s="46" t="s">
        <v>1056</v>
      </c>
      <c r="C16" s="46" t="s">
        <v>869</v>
      </c>
      <c r="D16" s="46" t="s">
        <v>870</v>
      </c>
      <c r="E16" s="46" t="s">
        <v>1057</v>
      </c>
      <c r="F16" s="46" t="s">
        <v>1058</v>
      </c>
      <c r="G16" s="46" t="s">
        <v>290</v>
      </c>
      <c r="H16" s="46" t="s">
        <v>1073</v>
      </c>
      <c r="I16" s="46" t="s">
        <v>1059</v>
      </c>
      <c r="J16" s="46" t="s">
        <v>1059</v>
      </c>
      <c r="K16" s="46"/>
      <c r="L16" s="46"/>
      <c r="M16" s="46"/>
      <c r="N16" s="46"/>
      <c r="O16" s="46"/>
      <c r="P16" s="46"/>
      <c r="Q16" s="46"/>
      <c r="R16" s="47" t="n">
        <f aca="false">CMO_Tab1!E7</f>
        <v>0.5</v>
      </c>
      <c r="S16" s="46" t="s">
        <v>1090</v>
      </c>
      <c r="T16" s="46" t="s">
        <v>33</v>
      </c>
      <c r="U16" s="46" t="s">
        <v>1061</v>
      </c>
      <c r="V16" s="46" t="s">
        <v>1068</v>
      </c>
      <c r="W16" s="46" t="s">
        <v>1063</v>
      </c>
      <c r="X16" s="46" t="s">
        <v>1064</v>
      </c>
      <c r="Y16" s="46" t="s">
        <v>1091</v>
      </c>
    </row>
    <row r="17" customFormat="false" ht="15" hidden="false" customHeight="false" outlineLevel="0" collapsed="false">
      <c r="A17" s="46" t="s">
        <v>895</v>
      </c>
      <c r="B17" s="46" t="s">
        <v>1056</v>
      </c>
      <c r="C17" s="46" t="s">
        <v>869</v>
      </c>
      <c r="D17" s="46" t="s">
        <v>870</v>
      </c>
      <c r="E17" s="46" t="s">
        <v>1057</v>
      </c>
      <c r="F17" s="46" t="s">
        <v>1058</v>
      </c>
      <c r="G17" s="46" t="s">
        <v>1059</v>
      </c>
      <c r="H17" s="46" t="s">
        <v>1059</v>
      </c>
      <c r="I17" s="46" t="s">
        <v>1059</v>
      </c>
      <c r="J17" s="46" t="s">
        <v>1059</v>
      </c>
      <c r="K17" s="46"/>
      <c r="L17" s="46"/>
      <c r="M17" s="46"/>
      <c r="N17" s="46"/>
      <c r="O17" s="46"/>
      <c r="P17" s="46"/>
      <c r="Q17" s="46"/>
      <c r="R17" s="47" t="n">
        <f aca="false">CMO_Tab1!B8</f>
        <v>0.4</v>
      </c>
      <c r="S17" s="46" t="s">
        <v>1092</v>
      </c>
      <c r="T17" s="46" t="s">
        <v>33</v>
      </c>
      <c r="U17" s="46" t="s">
        <v>1061</v>
      </c>
      <c r="V17" s="46" t="s">
        <v>1093</v>
      </c>
      <c r="W17" s="46" t="s">
        <v>1063</v>
      </c>
      <c r="X17" s="46" t="s">
        <v>1064</v>
      </c>
      <c r="Y17" s="46" t="s">
        <v>1094</v>
      </c>
    </row>
    <row r="18" customFormat="false" ht="15" hidden="false" customHeight="false" outlineLevel="0" collapsed="false">
      <c r="A18" s="46" t="s">
        <v>897</v>
      </c>
      <c r="B18" s="46" t="s">
        <v>1056</v>
      </c>
      <c r="C18" s="46" t="s">
        <v>869</v>
      </c>
      <c r="D18" s="46" t="s">
        <v>870</v>
      </c>
      <c r="E18" s="46" t="s">
        <v>1057</v>
      </c>
      <c r="F18" s="46" t="s">
        <v>1058</v>
      </c>
      <c r="G18" s="46" t="s">
        <v>1059</v>
      </c>
      <c r="H18" s="46" t="s">
        <v>1066</v>
      </c>
      <c r="I18" s="46" t="s">
        <v>1059</v>
      </c>
      <c r="J18" s="46" t="s">
        <v>1059</v>
      </c>
      <c r="K18" s="46"/>
      <c r="L18" s="46"/>
      <c r="M18" s="46"/>
      <c r="N18" s="46"/>
      <c r="O18" s="46"/>
      <c r="P18" s="46"/>
      <c r="Q18" s="46"/>
      <c r="R18" s="47" t="n">
        <f aca="false">CMO_Tab1!C8</f>
        <v>0.26</v>
      </c>
      <c r="S18" s="46" t="s">
        <v>1095</v>
      </c>
      <c r="T18" s="46" t="s">
        <v>33</v>
      </c>
      <c r="U18" s="46" t="s">
        <v>1061</v>
      </c>
      <c r="V18" s="46" t="s">
        <v>1062</v>
      </c>
      <c r="W18" s="46" t="s">
        <v>1063</v>
      </c>
      <c r="X18" s="46" t="s">
        <v>1064</v>
      </c>
      <c r="Y18" s="46" t="s">
        <v>1096</v>
      </c>
    </row>
    <row r="19" customFormat="false" ht="15" hidden="false" customHeight="false" outlineLevel="0" collapsed="false">
      <c r="A19" s="46" t="s">
        <v>899</v>
      </c>
      <c r="B19" s="46" t="s">
        <v>1056</v>
      </c>
      <c r="C19" s="46" t="s">
        <v>869</v>
      </c>
      <c r="D19" s="46" t="s">
        <v>870</v>
      </c>
      <c r="E19" s="46" t="s">
        <v>1057</v>
      </c>
      <c r="F19" s="46" t="s">
        <v>1058</v>
      </c>
      <c r="G19" s="46" t="s">
        <v>1059</v>
      </c>
      <c r="H19" s="46" t="s">
        <v>1070</v>
      </c>
      <c r="I19" s="46" t="s">
        <v>1059</v>
      </c>
      <c r="J19" s="46" t="s">
        <v>1059</v>
      </c>
      <c r="K19" s="46"/>
      <c r="L19" s="46"/>
      <c r="M19" s="46"/>
      <c r="N19" s="46"/>
      <c r="O19" s="46"/>
      <c r="P19" s="46"/>
      <c r="Q19" s="46"/>
      <c r="R19" s="47" t="n">
        <f aca="false">CMO_Tab1!D8</f>
        <v>0.37</v>
      </c>
      <c r="S19" s="46" t="s">
        <v>1097</v>
      </c>
      <c r="T19" s="46" t="s">
        <v>33</v>
      </c>
      <c r="U19" s="46" t="s">
        <v>1061</v>
      </c>
      <c r="V19" s="46" t="s">
        <v>1062</v>
      </c>
      <c r="W19" s="46" t="s">
        <v>1063</v>
      </c>
      <c r="X19" s="46" t="s">
        <v>1064</v>
      </c>
      <c r="Y19" s="46" t="s">
        <v>1098</v>
      </c>
    </row>
    <row r="20" customFormat="false" ht="15" hidden="false" customHeight="false" outlineLevel="0" collapsed="false">
      <c r="A20" s="46" t="s">
        <v>901</v>
      </c>
      <c r="B20" s="46" t="s">
        <v>1056</v>
      </c>
      <c r="C20" s="46" t="s">
        <v>869</v>
      </c>
      <c r="D20" s="46" t="s">
        <v>870</v>
      </c>
      <c r="E20" s="46" t="s">
        <v>1057</v>
      </c>
      <c r="F20" s="46" t="s">
        <v>1058</v>
      </c>
      <c r="G20" s="46" t="s">
        <v>1059</v>
      </c>
      <c r="H20" s="46" t="s">
        <v>1073</v>
      </c>
      <c r="I20" s="46" t="s">
        <v>1059</v>
      </c>
      <c r="J20" s="46" t="s">
        <v>1059</v>
      </c>
      <c r="K20" s="46"/>
      <c r="L20" s="46"/>
      <c r="M20" s="46"/>
      <c r="N20" s="46"/>
      <c r="O20" s="46"/>
      <c r="P20" s="46"/>
      <c r="Q20" s="46"/>
      <c r="R20" s="47" t="n">
        <f aca="false">CMO_Tab1!E8</f>
        <v>0.58</v>
      </c>
      <c r="S20" s="46" t="s">
        <v>1099</v>
      </c>
      <c r="T20" s="46" t="s">
        <v>33</v>
      </c>
      <c r="U20" s="46" t="s">
        <v>1061</v>
      </c>
      <c r="V20" s="46" t="s">
        <v>1062</v>
      </c>
      <c r="W20" s="46" t="s">
        <v>1063</v>
      </c>
      <c r="X20" s="46" t="s">
        <v>1064</v>
      </c>
      <c r="Y20" s="46" t="s">
        <v>1100</v>
      </c>
    </row>
    <row r="21" customFormat="false" ht="15" hidden="false" customHeight="false" outlineLevel="0" collapsed="false">
      <c r="A21" s="46" t="s">
        <v>903</v>
      </c>
      <c r="B21" s="46" t="s">
        <v>1056</v>
      </c>
      <c r="C21" s="46" t="s">
        <v>904</v>
      </c>
      <c r="D21" s="46" t="s">
        <v>905</v>
      </c>
      <c r="E21" s="46" t="s">
        <v>1101</v>
      </c>
      <c r="F21" s="46" t="s">
        <v>1102</v>
      </c>
      <c r="G21" s="46" t="s">
        <v>288</v>
      </c>
      <c r="H21" s="46" t="s">
        <v>1059</v>
      </c>
      <c r="I21" s="46" t="s">
        <v>1059</v>
      </c>
      <c r="J21" s="46" t="s">
        <v>1059</v>
      </c>
      <c r="K21" s="46"/>
      <c r="L21" s="46"/>
      <c r="M21" s="46"/>
      <c r="N21" s="46"/>
      <c r="O21" s="46"/>
      <c r="P21" s="46"/>
      <c r="Q21" s="46"/>
      <c r="R21" s="48" t="n">
        <f aca="false">CMO_Tab2!B5</f>
        <v>114.9</v>
      </c>
      <c r="S21" s="46" t="s">
        <v>1103</v>
      </c>
      <c r="T21" s="46" t="s">
        <v>33</v>
      </c>
      <c r="U21" s="46" t="s">
        <v>607</v>
      </c>
      <c r="V21" s="46" t="s">
        <v>1104</v>
      </c>
      <c r="W21" s="46"/>
      <c r="X21" s="46" t="s">
        <v>1105</v>
      </c>
      <c r="Y21" s="46" t="s">
        <v>1065</v>
      </c>
    </row>
    <row r="22" customFormat="false" ht="15" hidden="false" customHeight="false" outlineLevel="0" collapsed="false">
      <c r="A22" s="46" t="s">
        <v>907</v>
      </c>
      <c r="B22" s="46" t="s">
        <v>1056</v>
      </c>
      <c r="C22" s="46" t="s">
        <v>904</v>
      </c>
      <c r="D22" s="46" t="s">
        <v>908</v>
      </c>
      <c r="E22" s="46" t="s">
        <v>1106</v>
      </c>
      <c r="F22" s="46" t="s">
        <v>1107</v>
      </c>
      <c r="G22" s="46" t="s">
        <v>288</v>
      </c>
      <c r="H22" s="46" t="s">
        <v>1059</v>
      </c>
      <c r="I22" s="46" t="s">
        <v>1059</v>
      </c>
      <c r="J22" s="46" t="s">
        <v>1059</v>
      </c>
      <c r="K22" s="46"/>
      <c r="L22" s="46"/>
      <c r="M22" s="46"/>
      <c r="N22" s="46"/>
      <c r="O22" s="46"/>
      <c r="P22" s="46"/>
      <c r="Q22" s="46"/>
      <c r="R22" s="48" t="n">
        <f aca="false">CMO_Tab2!C5</f>
        <v>60.9</v>
      </c>
      <c r="S22" s="46" t="s">
        <v>1108</v>
      </c>
      <c r="T22" s="46" t="s">
        <v>33</v>
      </c>
      <c r="U22" s="46" t="s">
        <v>607</v>
      </c>
      <c r="V22" s="46" t="s">
        <v>1104</v>
      </c>
      <c r="W22" s="46"/>
      <c r="X22" s="46" t="s">
        <v>1105</v>
      </c>
      <c r="Y22" s="46" t="s">
        <v>1069</v>
      </c>
    </row>
    <row r="23" customFormat="false" ht="15" hidden="false" customHeight="false" outlineLevel="0" collapsed="false">
      <c r="A23" s="46" t="s">
        <v>909</v>
      </c>
      <c r="B23" s="46" t="s">
        <v>1056</v>
      </c>
      <c r="C23" s="46" t="s">
        <v>904</v>
      </c>
      <c r="D23" s="46" t="s">
        <v>910</v>
      </c>
      <c r="E23" s="46" t="s">
        <v>1109</v>
      </c>
      <c r="F23" s="46" t="s">
        <v>1110</v>
      </c>
      <c r="G23" s="46" t="s">
        <v>288</v>
      </c>
      <c r="H23" s="46" t="s">
        <v>1059</v>
      </c>
      <c r="I23" s="46" t="s">
        <v>1059</v>
      </c>
      <c r="J23" s="46" t="s">
        <v>1059</v>
      </c>
      <c r="K23" s="46"/>
      <c r="L23" s="46"/>
      <c r="M23" s="46"/>
      <c r="N23" s="46"/>
      <c r="O23" s="46"/>
      <c r="P23" s="46"/>
      <c r="Q23" s="46"/>
      <c r="R23" s="48" t="n">
        <f aca="false">CMO_Tab2!D5</f>
        <v>19.5</v>
      </c>
      <c r="S23" s="46" t="s">
        <v>1111</v>
      </c>
      <c r="T23" s="46" t="s">
        <v>33</v>
      </c>
      <c r="U23" s="46" t="s">
        <v>607</v>
      </c>
      <c r="V23" s="46" t="s">
        <v>1104</v>
      </c>
      <c r="W23" s="46"/>
      <c r="X23" s="46" t="s">
        <v>1105</v>
      </c>
      <c r="Y23" s="46" t="s">
        <v>1072</v>
      </c>
    </row>
    <row r="24" customFormat="false" ht="15" hidden="false" customHeight="false" outlineLevel="0" collapsed="false">
      <c r="A24" s="46" t="s">
        <v>911</v>
      </c>
      <c r="B24" s="46" t="s">
        <v>1056</v>
      </c>
      <c r="C24" s="46" t="s">
        <v>904</v>
      </c>
      <c r="D24" s="46" t="s">
        <v>912</v>
      </c>
      <c r="E24" s="46" t="s">
        <v>1112</v>
      </c>
      <c r="F24" s="46" t="s">
        <v>1058</v>
      </c>
      <c r="G24" s="46" t="s">
        <v>288</v>
      </c>
      <c r="H24" s="46" t="s">
        <v>1059</v>
      </c>
      <c r="I24" s="46" t="s">
        <v>1059</v>
      </c>
      <c r="J24" s="46" t="s">
        <v>1059</v>
      </c>
      <c r="K24" s="46"/>
      <c r="L24" s="46"/>
      <c r="M24" s="46"/>
      <c r="N24" s="46"/>
      <c r="O24" s="46"/>
      <c r="P24" s="46"/>
      <c r="Q24" s="46"/>
      <c r="R24" s="47" t="n">
        <f aca="false">CMO_Tab2!E5</f>
        <v>0.45</v>
      </c>
      <c r="S24" s="46" t="s">
        <v>1113</v>
      </c>
      <c r="T24" s="46" t="s">
        <v>33</v>
      </c>
      <c r="U24" s="46" t="s">
        <v>1061</v>
      </c>
      <c r="V24" s="46" t="s">
        <v>1104</v>
      </c>
      <c r="W24" s="46"/>
      <c r="X24" s="46" t="s">
        <v>1105</v>
      </c>
      <c r="Y24" s="46" t="s">
        <v>1075</v>
      </c>
    </row>
    <row r="25" customFormat="false" ht="15" hidden="false" customHeight="false" outlineLevel="0" collapsed="false">
      <c r="A25" s="46" t="s">
        <v>913</v>
      </c>
      <c r="B25" s="46" t="s">
        <v>1056</v>
      </c>
      <c r="C25" s="46" t="s">
        <v>904</v>
      </c>
      <c r="D25" s="46" t="s">
        <v>905</v>
      </c>
      <c r="E25" s="46" t="s">
        <v>1101</v>
      </c>
      <c r="F25" s="46" t="s">
        <v>1102</v>
      </c>
      <c r="G25" s="46" t="s">
        <v>289</v>
      </c>
      <c r="H25" s="46" t="s">
        <v>1059</v>
      </c>
      <c r="I25" s="46" t="s">
        <v>1059</v>
      </c>
      <c r="J25" s="46" t="s">
        <v>1059</v>
      </c>
      <c r="K25" s="46"/>
      <c r="L25" s="46"/>
      <c r="M25" s="46"/>
      <c r="N25" s="46"/>
      <c r="O25" s="46"/>
      <c r="P25" s="46"/>
      <c r="Q25" s="46"/>
      <c r="R25" s="48" t="n">
        <f aca="false">CMO_Tab2!B6</f>
        <v>204.3</v>
      </c>
      <c r="S25" s="46" t="s">
        <v>1114</v>
      </c>
      <c r="T25" s="46" t="s">
        <v>33</v>
      </c>
      <c r="U25" s="46" t="s">
        <v>607</v>
      </c>
      <c r="V25" s="46" t="s">
        <v>1104</v>
      </c>
      <c r="W25" s="46"/>
      <c r="X25" s="46" t="s">
        <v>1105</v>
      </c>
      <c r="Y25" s="46" t="s">
        <v>1077</v>
      </c>
    </row>
    <row r="26" customFormat="false" ht="15" hidden="false" customHeight="false" outlineLevel="0" collapsed="false">
      <c r="A26" s="46" t="s">
        <v>914</v>
      </c>
      <c r="B26" s="46" t="s">
        <v>1056</v>
      </c>
      <c r="C26" s="46" t="s">
        <v>904</v>
      </c>
      <c r="D26" s="46" t="s">
        <v>908</v>
      </c>
      <c r="E26" s="46" t="s">
        <v>1106</v>
      </c>
      <c r="F26" s="46" t="s">
        <v>1107</v>
      </c>
      <c r="G26" s="46" t="s">
        <v>289</v>
      </c>
      <c r="H26" s="46" t="s">
        <v>1059</v>
      </c>
      <c r="I26" s="46" t="s">
        <v>1059</v>
      </c>
      <c r="J26" s="46" t="s">
        <v>1059</v>
      </c>
      <c r="K26" s="46"/>
      <c r="L26" s="46"/>
      <c r="M26" s="46"/>
      <c r="N26" s="46"/>
      <c r="O26" s="46"/>
      <c r="P26" s="46"/>
      <c r="Q26" s="46"/>
      <c r="R26" s="48" t="n">
        <f aca="false">CMO_Tab2!C6</f>
        <v>63.8</v>
      </c>
      <c r="S26" s="46" t="s">
        <v>1115</v>
      </c>
      <c r="T26" s="46" t="s">
        <v>33</v>
      </c>
      <c r="U26" s="46" t="s">
        <v>607</v>
      </c>
      <c r="V26" s="46" t="s">
        <v>1104</v>
      </c>
      <c r="W26" s="46"/>
      <c r="X26" s="46" t="s">
        <v>1105</v>
      </c>
      <c r="Y26" s="46" t="s">
        <v>1079</v>
      </c>
    </row>
    <row r="27" customFormat="false" ht="15" hidden="false" customHeight="false" outlineLevel="0" collapsed="false">
      <c r="A27" s="46" t="s">
        <v>915</v>
      </c>
      <c r="B27" s="46" t="s">
        <v>1056</v>
      </c>
      <c r="C27" s="46" t="s">
        <v>904</v>
      </c>
      <c r="D27" s="46" t="s">
        <v>910</v>
      </c>
      <c r="E27" s="46" t="s">
        <v>1109</v>
      </c>
      <c r="F27" s="46" t="s">
        <v>1110</v>
      </c>
      <c r="G27" s="46" t="s">
        <v>289</v>
      </c>
      <c r="H27" s="46" t="s">
        <v>1059</v>
      </c>
      <c r="I27" s="46" t="s">
        <v>1059</v>
      </c>
      <c r="J27" s="46" t="s">
        <v>1059</v>
      </c>
      <c r="K27" s="46"/>
      <c r="L27" s="46"/>
      <c r="M27" s="46"/>
      <c r="N27" s="46"/>
      <c r="O27" s="46"/>
      <c r="P27" s="46"/>
      <c r="Q27" s="46"/>
      <c r="R27" s="48" t="n">
        <f aca="false">CMO_Tab2!D6</f>
        <v>32.9</v>
      </c>
      <c r="S27" s="46" t="s">
        <v>1116</v>
      </c>
      <c r="T27" s="46" t="s">
        <v>33</v>
      </c>
      <c r="U27" s="46" t="s">
        <v>607</v>
      </c>
      <c r="V27" s="46" t="s">
        <v>1104</v>
      </c>
      <c r="W27" s="46"/>
      <c r="X27" s="46" t="s">
        <v>1105</v>
      </c>
      <c r="Y27" s="46" t="s">
        <v>1081</v>
      </c>
    </row>
    <row r="28" customFormat="false" ht="15" hidden="false" customHeight="false" outlineLevel="0" collapsed="false">
      <c r="A28" s="46" t="s">
        <v>916</v>
      </c>
      <c r="B28" s="46" t="s">
        <v>1056</v>
      </c>
      <c r="C28" s="46" t="s">
        <v>904</v>
      </c>
      <c r="D28" s="46" t="s">
        <v>912</v>
      </c>
      <c r="E28" s="46" t="s">
        <v>1112</v>
      </c>
      <c r="F28" s="46" t="s">
        <v>1058</v>
      </c>
      <c r="G28" s="46" t="s">
        <v>289</v>
      </c>
      <c r="H28" s="46" t="s">
        <v>1059</v>
      </c>
      <c r="I28" s="46" t="s">
        <v>1059</v>
      </c>
      <c r="J28" s="46" t="s">
        <v>1059</v>
      </c>
      <c r="K28" s="46"/>
      <c r="L28" s="46"/>
      <c r="M28" s="46"/>
      <c r="N28" s="46"/>
      <c r="O28" s="46"/>
      <c r="P28" s="46"/>
      <c r="Q28" s="46"/>
      <c r="R28" s="47" t="n">
        <f aca="false">CMO_Tab2!E6</f>
        <v>0.7</v>
      </c>
      <c r="S28" s="46" t="s">
        <v>1117</v>
      </c>
      <c r="T28" s="46" t="s">
        <v>33</v>
      </c>
      <c r="U28" s="46" t="s">
        <v>1061</v>
      </c>
      <c r="V28" s="46" t="s">
        <v>1104</v>
      </c>
      <c r="W28" s="46"/>
      <c r="X28" s="46" t="s">
        <v>1105</v>
      </c>
      <c r="Y28" s="46" t="s">
        <v>1083</v>
      </c>
    </row>
    <row r="29" customFormat="false" ht="15" hidden="false" customHeight="false" outlineLevel="0" collapsed="false">
      <c r="A29" s="46" t="s">
        <v>917</v>
      </c>
      <c r="B29" s="46" t="s">
        <v>1056</v>
      </c>
      <c r="C29" s="46" t="s">
        <v>904</v>
      </c>
      <c r="D29" s="46" t="s">
        <v>905</v>
      </c>
      <c r="E29" s="46" t="s">
        <v>1101</v>
      </c>
      <c r="F29" s="46" t="s">
        <v>1102</v>
      </c>
      <c r="G29" s="46" t="s">
        <v>290</v>
      </c>
      <c r="H29" s="46" t="s">
        <v>1059</v>
      </c>
      <c r="I29" s="46" t="s">
        <v>1059</v>
      </c>
      <c r="J29" s="46" t="s">
        <v>1059</v>
      </c>
      <c r="K29" s="46"/>
      <c r="L29" s="46"/>
      <c r="M29" s="46"/>
      <c r="N29" s="46"/>
      <c r="O29" s="46"/>
      <c r="P29" s="46"/>
      <c r="Q29" s="46"/>
      <c r="R29" s="48" t="n">
        <f aca="false">CMO_Tab2!B7</f>
        <v>211.1</v>
      </c>
      <c r="S29" s="46" t="s">
        <v>1118</v>
      </c>
      <c r="T29" s="46" t="s">
        <v>33</v>
      </c>
      <c r="U29" s="46" t="s">
        <v>607</v>
      </c>
      <c r="V29" s="46" t="s">
        <v>1104</v>
      </c>
      <c r="W29" s="46"/>
      <c r="X29" s="46" t="s">
        <v>1105</v>
      </c>
      <c r="Y29" s="46" t="s">
        <v>1085</v>
      </c>
    </row>
    <row r="30" customFormat="false" ht="15" hidden="false" customHeight="false" outlineLevel="0" collapsed="false">
      <c r="A30" s="46" t="s">
        <v>918</v>
      </c>
      <c r="B30" s="46" t="s">
        <v>1056</v>
      </c>
      <c r="C30" s="46" t="s">
        <v>904</v>
      </c>
      <c r="D30" s="46" t="s">
        <v>908</v>
      </c>
      <c r="E30" s="46" t="s">
        <v>1106</v>
      </c>
      <c r="F30" s="46" t="s">
        <v>1107</v>
      </c>
      <c r="G30" s="46" t="s">
        <v>290</v>
      </c>
      <c r="H30" s="46" t="s">
        <v>1059</v>
      </c>
      <c r="I30" s="46" t="s">
        <v>1059</v>
      </c>
      <c r="J30" s="46" t="s">
        <v>1059</v>
      </c>
      <c r="K30" s="46"/>
      <c r="L30" s="46"/>
      <c r="M30" s="46"/>
      <c r="N30" s="46"/>
      <c r="O30" s="46"/>
      <c r="P30" s="46"/>
      <c r="Q30" s="46"/>
      <c r="R30" s="48" t="n">
        <f aca="false">CMO_Tab2!C7</f>
        <v>76.6</v>
      </c>
      <c r="S30" s="46" t="s">
        <v>1119</v>
      </c>
      <c r="T30" s="46" t="s">
        <v>33</v>
      </c>
      <c r="U30" s="46" t="s">
        <v>607</v>
      </c>
      <c r="V30" s="46" t="s">
        <v>1104</v>
      </c>
      <c r="W30" s="46"/>
      <c r="X30" s="46" t="s">
        <v>1105</v>
      </c>
      <c r="Y30" s="46" t="s">
        <v>1087</v>
      </c>
    </row>
    <row r="31" customFormat="false" ht="15" hidden="false" customHeight="false" outlineLevel="0" collapsed="false">
      <c r="A31" s="46" t="s">
        <v>919</v>
      </c>
      <c r="B31" s="46" t="s">
        <v>1056</v>
      </c>
      <c r="C31" s="46" t="s">
        <v>904</v>
      </c>
      <c r="D31" s="46" t="s">
        <v>910</v>
      </c>
      <c r="E31" s="46" t="s">
        <v>1109</v>
      </c>
      <c r="F31" s="46" t="s">
        <v>1110</v>
      </c>
      <c r="G31" s="46" t="s">
        <v>290</v>
      </c>
      <c r="H31" s="46" t="s">
        <v>1059</v>
      </c>
      <c r="I31" s="46" t="s">
        <v>1059</v>
      </c>
      <c r="J31" s="46" t="s">
        <v>1059</v>
      </c>
      <c r="K31" s="46"/>
      <c r="L31" s="46"/>
      <c r="M31" s="46"/>
      <c r="N31" s="46"/>
      <c r="O31" s="46"/>
      <c r="P31" s="46"/>
      <c r="Q31" s="46"/>
      <c r="R31" s="48" t="n">
        <f aca="false">CMO_Tab2!D7</f>
        <v>46.1</v>
      </c>
      <c r="S31" s="46" t="s">
        <v>1120</v>
      </c>
      <c r="T31" s="46" t="s">
        <v>33</v>
      </c>
      <c r="U31" s="46" t="s">
        <v>607</v>
      </c>
      <c r="V31" s="46" t="s">
        <v>1104</v>
      </c>
      <c r="W31" s="46"/>
      <c r="X31" s="46" t="s">
        <v>1105</v>
      </c>
      <c r="Y31" s="46" t="s">
        <v>1089</v>
      </c>
    </row>
    <row r="32" customFormat="false" ht="15" hidden="false" customHeight="false" outlineLevel="0" collapsed="false">
      <c r="A32" s="46" t="s">
        <v>920</v>
      </c>
      <c r="B32" s="46" t="s">
        <v>1056</v>
      </c>
      <c r="C32" s="46" t="s">
        <v>904</v>
      </c>
      <c r="D32" s="46" t="s">
        <v>912</v>
      </c>
      <c r="E32" s="46" t="s">
        <v>1112</v>
      </c>
      <c r="F32" s="46" t="s">
        <v>1058</v>
      </c>
      <c r="G32" s="46" t="s">
        <v>290</v>
      </c>
      <c r="H32" s="46" t="s">
        <v>1059</v>
      </c>
      <c r="I32" s="46" t="s">
        <v>1059</v>
      </c>
      <c r="J32" s="46" t="s">
        <v>1059</v>
      </c>
      <c r="K32" s="46"/>
      <c r="L32" s="46"/>
      <c r="M32" s="46"/>
      <c r="N32" s="46"/>
      <c r="O32" s="46"/>
      <c r="P32" s="46"/>
      <c r="Q32" s="46"/>
      <c r="R32" s="47" t="n">
        <f aca="false">CMO_Tab2!E7</f>
        <v>0.64</v>
      </c>
      <c r="S32" s="46" t="s">
        <v>1121</v>
      </c>
      <c r="T32" s="46" t="s">
        <v>33</v>
      </c>
      <c r="U32" s="46" t="s">
        <v>1061</v>
      </c>
      <c r="V32" s="46" t="s">
        <v>1104</v>
      </c>
      <c r="W32" s="46"/>
      <c r="X32" s="46" t="s">
        <v>1105</v>
      </c>
      <c r="Y32" s="46" t="s">
        <v>1091</v>
      </c>
    </row>
    <row r="33" customFormat="false" ht="15" hidden="false" customHeight="false" outlineLevel="0" collapsed="false">
      <c r="A33" s="46" t="s">
        <v>921</v>
      </c>
      <c r="B33" s="46" t="s">
        <v>1056</v>
      </c>
      <c r="C33" s="46" t="s">
        <v>922</v>
      </c>
      <c r="D33" s="46" t="s">
        <v>923</v>
      </c>
      <c r="E33" s="46" t="s">
        <v>1122</v>
      </c>
      <c r="F33" s="46" t="s">
        <v>1058</v>
      </c>
      <c r="G33" s="46" t="s">
        <v>1059</v>
      </c>
      <c r="H33" s="46" t="s">
        <v>1070</v>
      </c>
      <c r="I33" s="46" t="s">
        <v>1059</v>
      </c>
      <c r="J33" s="46" t="s">
        <v>1059</v>
      </c>
      <c r="K33" s="46" t="s">
        <v>637</v>
      </c>
      <c r="L33" s="46" t="s">
        <v>1123</v>
      </c>
      <c r="M33" s="46"/>
      <c r="N33" s="46"/>
      <c r="O33" s="46"/>
      <c r="P33" s="46"/>
      <c r="Q33" s="46"/>
      <c r="R33" s="47" t="n">
        <f aca="false">CMO_Tab3_Tab4!B6</f>
        <v>0.46</v>
      </c>
      <c r="S33" s="46" t="s">
        <v>1124</v>
      </c>
      <c r="T33" s="46" t="s">
        <v>33</v>
      </c>
      <c r="U33" s="46" t="s">
        <v>1061</v>
      </c>
      <c r="V33" s="46" t="s">
        <v>1125</v>
      </c>
      <c r="W33" s="46"/>
      <c r="X33" s="46" t="s">
        <v>1126</v>
      </c>
      <c r="Y33" s="46" t="s">
        <v>1077</v>
      </c>
    </row>
    <row r="34" customFormat="false" ht="15" hidden="false" customHeight="false" outlineLevel="0" collapsed="false">
      <c r="A34" s="46" t="s">
        <v>925</v>
      </c>
      <c r="B34" s="46" t="s">
        <v>1056</v>
      </c>
      <c r="C34" s="46" t="s">
        <v>922</v>
      </c>
      <c r="D34" s="46" t="s">
        <v>923</v>
      </c>
      <c r="E34" s="46" t="s">
        <v>1122</v>
      </c>
      <c r="F34" s="46" t="s">
        <v>1058</v>
      </c>
      <c r="G34" s="46" t="s">
        <v>1059</v>
      </c>
      <c r="H34" s="46" t="s">
        <v>1070</v>
      </c>
      <c r="I34" s="46" t="s">
        <v>1059</v>
      </c>
      <c r="J34" s="46" t="s">
        <v>1059</v>
      </c>
      <c r="K34" s="46" t="s">
        <v>637</v>
      </c>
      <c r="L34" s="46" t="s">
        <v>1127</v>
      </c>
      <c r="M34" s="46"/>
      <c r="N34" s="46"/>
      <c r="O34" s="46"/>
      <c r="P34" s="46"/>
      <c r="Q34" s="46"/>
      <c r="R34" s="47" t="n">
        <f aca="false">CMO_Tab3_Tab4!C6</f>
        <v>0.44</v>
      </c>
      <c r="S34" s="46" t="s">
        <v>1128</v>
      </c>
      <c r="T34" s="46" t="s">
        <v>33</v>
      </c>
      <c r="U34" s="46" t="s">
        <v>1061</v>
      </c>
      <c r="V34" s="46" t="s">
        <v>1125</v>
      </c>
      <c r="W34" s="46"/>
      <c r="X34" s="46" t="s">
        <v>1126</v>
      </c>
      <c r="Y34" s="46" t="s">
        <v>1079</v>
      </c>
    </row>
    <row r="35" customFormat="false" ht="15" hidden="false" customHeight="false" outlineLevel="0" collapsed="false">
      <c r="A35" s="46" t="s">
        <v>927</v>
      </c>
      <c r="B35" s="46" t="s">
        <v>1056</v>
      </c>
      <c r="C35" s="46" t="s">
        <v>922</v>
      </c>
      <c r="D35" s="46" t="s">
        <v>923</v>
      </c>
      <c r="E35" s="46" t="s">
        <v>1122</v>
      </c>
      <c r="F35" s="46" t="s">
        <v>1058</v>
      </c>
      <c r="G35" s="46" t="s">
        <v>1059</v>
      </c>
      <c r="H35" s="46" t="s">
        <v>1070</v>
      </c>
      <c r="I35" s="46" t="s">
        <v>1059</v>
      </c>
      <c r="J35" s="46" t="s">
        <v>1059</v>
      </c>
      <c r="K35" s="46" t="s">
        <v>648</v>
      </c>
      <c r="L35" s="46" t="s">
        <v>1123</v>
      </c>
      <c r="M35" s="46"/>
      <c r="N35" s="46"/>
      <c r="O35" s="46"/>
      <c r="P35" s="46"/>
      <c r="Q35" s="46"/>
      <c r="R35" s="47" t="n">
        <f aca="false">CMO_Tab3_Tab4!B7</f>
        <v>0.48</v>
      </c>
      <c r="S35" s="46" t="s">
        <v>1129</v>
      </c>
      <c r="T35" s="46" t="s">
        <v>33</v>
      </c>
      <c r="U35" s="46" t="s">
        <v>1061</v>
      </c>
      <c r="V35" s="46" t="s">
        <v>1125</v>
      </c>
      <c r="W35" s="46"/>
      <c r="X35" s="46" t="s">
        <v>1126</v>
      </c>
      <c r="Y35" s="46" t="s">
        <v>1085</v>
      </c>
    </row>
    <row r="36" customFormat="false" ht="15" hidden="false" customHeight="false" outlineLevel="0" collapsed="false">
      <c r="A36" s="46" t="s">
        <v>929</v>
      </c>
      <c r="B36" s="46" t="s">
        <v>1056</v>
      </c>
      <c r="C36" s="46" t="s">
        <v>922</v>
      </c>
      <c r="D36" s="46" t="s">
        <v>923</v>
      </c>
      <c r="E36" s="46" t="s">
        <v>1122</v>
      </c>
      <c r="F36" s="46" t="s">
        <v>1058</v>
      </c>
      <c r="G36" s="46" t="s">
        <v>1059</v>
      </c>
      <c r="H36" s="46" t="s">
        <v>1070</v>
      </c>
      <c r="I36" s="46" t="s">
        <v>1059</v>
      </c>
      <c r="J36" s="46" t="s">
        <v>1059</v>
      </c>
      <c r="K36" s="46" t="s">
        <v>648</v>
      </c>
      <c r="L36" s="46" t="s">
        <v>1127</v>
      </c>
      <c r="M36" s="46"/>
      <c r="N36" s="46"/>
      <c r="O36" s="46"/>
      <c r="P36" s="46"/>
      <c r="Q36" s="46"/>
      <c r="R36" s="47" t="n">
        <f aca="false">CMO_Tab3_Tab4!C7</f>
        <v>0.25</v>
      </c>
      <c r="S36" s="46" t="s">
        <v>1130</v>
      </c>
      <c r="T36" s="46" t="s">
        <v>33</v>
      </c>
      <c r="U36" s="46" t="s">
        <v>1061</v>
      </c>
      <c r="V36" s="46" t="s">
        <v>1125</v>
      </c>
      <c r="W36" s="46"/>
      <c r="X36" s="46" t="s">
        <v>1126</v>
      </c>
      <c r="Y36" s="46" t="s">
        <v>1087</v>
      </c>
    </row>
    <row r="37" customFormat="false" ht="15" hidden="false" customHeight="false" outlineLevel="0" collapsed="false">
      <c r="A37" s="46" t="s">
        <v>931</v>
      </c>
      <c r="B37" s="46" t="s">
        <v>1056</v>
      </c>
      <c r="C37" s="46" t="s">
        <v>932</v>
      </c>
      <c r="D37" s="46" t="s">
        <v>933</v>
      </c>
      <c r="E37" s="46" t="s">
        <v>1112</v>
      </c>
      <c r="F37" s="46" t="s">
        <v>1058</v>
      </c>
      <c r="G37" s="46" t="s">
        <v>1059</v>
      </c>
      <c r="H37" s="46" t="s">
        <v>1131</v>
      </c>
      <c r="I37" s="46" t="s">
        <v>1132</v>
      </c>
      <c r="J37" s="46" t="s">
        <v>1059</v>
      </c>
      <c r="K37" s="46" t="s">
        <v>637</v>
      </c>
      <c r="L37" s="46" t="s">
        <v>1133</v>
      </c>
      <c r="M37" s="46"/>
      <c r="N37" s="46"/>
      <c r="O37" s="46"/>
      <c r="P37" s="46"/>
      <c r="Q37" s="46"/>
      <c r="R37" s="47" t="n">
        <f aca="false">CMO_Tab3_Tab4!B16</f>
        <v>0.86</v>
      </c>
      <c r="S37" s="46" t="s">
        <v>1134</v>
      </c>
      <c r="T37" s="46" t="s">
        <v>33</v>
      </c>
      <c r="U37" s="46" t="s">
        <v>1061</v>
      </c>
      <c r="V37" s="46" t="s">
        <v>1135</v>
      </c>
      <c r="W37" s="46" t="s">
        <v>1136</v>
      </c>
      <c r="X37" s="46" t="s">
        <v>1126</v>
      </c>
      <c r="Y37" s="46" t="s">
        <v>1137</v>
      </c>
    </row>
    <row r="38" customFormat="false" ht="15" hidden="false" customHeight="false" outlineLevel="0" collapsed="false">
      <c r="A38" s="46" t="s">
        <v>935</v>
      </c>
      <c r="B38" s="46" t="s">
        <v>1056</v>
      </c>
      <c r="C38" s="46" t="s">
        <v>932</v>
      </c>
      <c r="D38" s="46" t="s">
        <v>933</v>
      </c>
      <c r="E38" s="46" t="s">
        <v>1112</v>
      </c>
      <c r="F38" s="46" t="s">
        <v>1058</v>
      </c>
      <c r="G38" s="46" t="s">
        <v>1059</v>
      </c>
      <c r="H38" s="46" t="s">
        <v>1131</v>
      </c>
      <c r="I38" s="46" t="s">
        <v>1132</v>
      </c>
      <c r="J38" s="46" t="s">
        <v>1059</v>
      </c>
      <c r="K38" s="46" t="s">
        <v>637</v>
      </c>
      <c r="L38" s="46" t="s">
        <v>1138</v>
      </c>
      <c r="M38" s="46"/>
      <c r="N38" s="46"/>
      <c r="O38" s="46"/>
      <c r="P38" s="46"/>
      <c r="Q38" s="46"/>
      <c r="R38" s="47" t="n">
        <f aca="false">CMO_Tab3_Tab4!C16</f>
        <v>0.65</v>
      </c>
      <c r="S38" s="46" t="s">
        <v>1074</v>
      </c>
      <c r="T38" s="46" t="s">
        <v>33</v>
      </c>
      <c r="U38" s="46" t="s">
        <v>1061</v>
      </c>
      <c r="V38" s="46" t="s">
        <v>1135</v>
      </c>
      <c r="W38" s="46" t="s">
        <v>1136</v>
      </c>
      <c r="X38" s="46" t="s">
        <v>1126</v>
      </c>
      <c r="Y38" s="46" t="s">
        <v>1139</v>
      </c>
    </row>
    <row r="39" customFormat="false" ht="15" hidden="false" customHeight="false" outlineLevel="0" collapsed="false">
      <c r="A39" s="46" t="s">
        <v>937</v>
      </c>
      <c r="B39" s="46" t="s">
        <v>1056</v>
      </c>
      <c r="C39" s="46" t="s">
        <v>932</v>
      </c>
      <c r="D39" s="46" t="s">
        <v>933</v>
      </c>
      <c r="E39" s="46" t="s">
        <v>1112</v>
      </c>
      <c r="F39" s="46" t="s">
        <v>1058</v>
      </c>
      <c r="G39" s="46" t="s">
        <v>1059</v>
      </c>
      <c r="H39" s="46" t="s">
        <v>1131</v>
      </c>
      <c r="I39" s="46" t="s">
        <v>1132</v>
      </c>
      <c r="J39" s="46" t="s">
        <v>1059</v>
      </c>
      <c r="K39" s="46" t="s">
        <v>648</v>
      </c>
      <c r="L39" s="46" t="s">
        <v>1133</v>
      </c>
      <c r="M39" s="46"/>
      <c r="N39" s="46"/>
      <c r="O39" s="46"/>
      <c r="P39" s="46"/>
      <c r="Q39" s="46"/>
      <c r="R39" s="47" t="n">
        <f aca="false">CMO_Tab3_Tab4!B17</f>
        <v>0.54</v>
      </c>
      <c r="S39" s="46" t="s">
        <v>1140</v>
      </c>
      <c r="T39" s="46" t="s">
        <v>33</v>
      </c>
      <c r="U39" s="46" t="s">
        <v>1061</v>
      </c>
      <c r="V39" s="46" t="s">
        <v>1135</v>
      </c>
      <c r="W39" s="46" t="s">
        <v>1136</v>
      </c>
      <c r="X39" s="46" t="s">
        <v>1126</v>
      </c>
      <c r="Y39" s="46" t="s">
        <v>1141</v>
      </c>
    </row>
    <row r="40" customFormat="false" ht="15" hidden="false" customHeight="false" outlineLevel="0" collapsed="false">
      <c r="A40" s="46" t="s">
        <v>939</v>
      </c>
      <c r="B40" s="46" t="s">
        <v>1056</v>
      </c>
      <c r="C40" s="46" t="s">
        <v>932</v>
      </c>
      <c r="D40" s="46" t="s">
        <v>933</v>
      </c>
      <c r="E40" s="46" t="s">
        <v>1112</v>
      </c>
      <c r="F40" s="46" t="s">
        <v>1058</v>
      </c>
      <c r="G40" s="46" t="s">
        <v>1059</v>
      </c>
      <c r="H40" s="46" t="s">
        <v>1131</v>
      </c>
      <c r="I40" s="46" t="s">
        <v>1132</v>
      </c>
      <c r="J40" s="46" t="s">
        <v>1059</v>
      </c>
      <c r="K40" s="46" t="s">
        <v>648</v>
      </c>
      <c r="L40" s="46" t="s">
        <v>1138</v>
      </c>
      <c r="M40" s="46"/>
      <c r="N40" s="46"/>
      <c r="O40" s="46"/>
      <c r="P40" s="46"/>
      <c r="Q40" s="46"/>
      <c r="R40" s="47" t="n">
        <f aca="false">CMO_Tab3_Tab4!C17</f>
        <v>0.6</v>
      </c>
      <c r="S40" s="46" t="s">
        <v>1082</v>
      </c>
      <c r="T40" s="46" t="s">
        <v>33</v>
      </c>
      <c r="U40" s="46" t="s">
        <v>1061</v>
      </c>
      <c r="V40" s="46" t="s">
        <v>1135</v>
      </c>
      <c r="W40" s="46" t="s">
        <v>1136</v>
      </c>
      <c r="X40" s="46" t="s">
        <v>1126</v>
      </c>
      <c r="Y40" s="46" t="s">
        <v>1142</v>
      </c>
    </row>
    <row r="41" customFormat="false" ht="15" hidden="false" customHeight="false" outlineLevel="0" collapsed="false">
      <c r="A41" s="46" t="s">
        <v>941</v>
      </c>
      <c r="B41" s="46" t="s">
        <v>1056</v>
      </c>
      <c r="C41" s="46" t="s">
        <v>942</v>
      </c>
      <c r="D41" s="46" t="s">
        <v>943</v>
      </c>
      <c r="E41" s="46" t="s">
        <v>1143</v>
      </c>
      <c r="F41" s="46" t="s">
        <v>1058</v>
      </c>
      <c r="G41" s="46" t="s">
        <v>1059</v>
      </c>
      <c r="H41" s="46" t="s">
        <v>1131</v>
      </c>
      <c r="I41" s="46" t="s">
        <v>1132</v>
      </c>
      <c r="J41" s="46" t="s">
        <v>1059</v>
      </c>
      <c r="K41" s="46" t="s">
        <v>1144</v>
      </c>
      <c r="L41" s="46"/>
      <c r="M41" s="46"/>
      <c r="N41" s="46"/>
      <c r="O41" s="46"/>
      <c r="P41" s="46"/>
      <c r="Q41" s="46"/>
      <c r="R41" s="47" t="n">
        <f aca="false">CMO_Tab3_Tab4!B24</f>
        <v>0.14</v>
      </c>
      <c r="S41" s="46" t="s">
        <v>1145</v>
      </c>
      <c r="T41" s="46" t="s">
        <v>35</v>
      </c>
      <c r="U41" s="46" t="s">
        <v>1061</v>
      </c>
      <c r="V41" s="46" t="s">
        <v>1146</v>
      </c>
      <c r="W41" s="46"/>
      <c r="X41" s="46" t="s">
        <v>1126</v>
      </c>
      <c r="Y41" s="46" t="s">
        <v>1147</v>
      </c>
    </row>
    <row r="42" customFormat="false" ht="15" hidden="false" customHeight="false" outlineLevel="0" collapsed="false">
      <c r="A42" s="46" t="s">
        <v>945</v>
      </c>
      <c r="B42" s="46" t="s">
        <v>1056</v>
      </c>
      <c r="C42" s="46" t="s">
        <v>942</v>
      </c>
      <c r="D42" s="46" t="s">
        <v>943</v>
      </c>
      <c r="E42" s="46" t="s">
        <v>1143</v>
      </c>
      <c r="F42" s="46" t="s">
        <v>1058</v>
      </c>
      <c r="G42" s="46" t="s">
        <v>1059</v>
      </c>
      <c r="H42" s="46" t="s">
        <v>1131</v>
      </c>
      <c r="I42" s="46" t="s">
        <v>1132</v>
      </c>
      <c r="J42" s="46" t="s">
        <v>1059</v>
      </c>
      <c r="K42" s="46" t="s">
        <v>1148</v>
      </c>
      <c r="L42" s="46"/>
      <c r="M42" s="46"/>
      <c r="N42" s="46"/>
      <c r="O42" s="46"/>
      <c r="P42" s="46"/>
      <c r="Q42" s="46"/>
      <c r="R42" s="47" t="n">
        <f aca="false">CMO_Tab3_Tab4!B25</f>
        <v>0.05</v>
      </c>
      <c r="S42" s="46" t="s">
        <v>1149</v>
      </c>
      <c r="T42" s="46" t="s">
        <v>35</v>
      </c>
      <c r="U42" s="46" t="s">
        <v>1061</v>
      </c>
      <c r="V42" s="46" t="s">
        <v>1146</v>
      </c>
      <c r="W42" s="46"/>
      <c r="X42" s="46" t="s">
        <v>1126</v>
      </c>
      <c r="Y42" s="46" t="s">
        <v>1150</v>
      </c>
    </row>
    <row r="43" customFormat="false" ht="15" hidden="false" customHeight="false" outlineLevel="0" collapsed="false">
      <c r="A43" s="46" t="s">
        <v>947</v>
      </c>
      <c r="B43" s="46" t="s">
        <v>1056</v>
      </c>
      <c r="C43" s="46" t="s">
        <v>942</v>
      </c>
      <c r="D43" s="46" t="s">
        <v>943</v>
      </c>
      <c r="E43" s="46" t="s">
        <v>1143</v>
      </c>
      <c r="F43" s="46" t="s">
        <v>1058</v>
      </c>
      <c r="G43" s="46" t="s">
        <v>1059</v>
      </c>
      <c r="H43" s="46" t="s">
        <v>1131</v>
      </c>
      <c r="I43" s="46" t="s">
        <v>1132</v>
      </c>
      <c r="J43" s="46" t="s">
        <v>1059</v>
      </c>
      <c r="K43" s="46" t="s">
        <v>1151</v>
      </c>
      <c r="L43" s="46"/>
      <c r="M43" s="46"/>
      <c r="N43" s="46"/>
      <c r="O43" s="46"/>
      <c r="P43" s="46"/>
      <c r="Q43" s="46"/>
      <c r="R43" s="47" t="n">
        <f aca="false">CMO_Tab3_Tab4!B26</f>
        <v>0.12</v>
      </c>
      <c r="S43" s="46" t="s">
        <v>1152</v>
      </c>
      <c r="T43" s="46" t="s">
        <v>35</v>
      </c>
      <c r="U43" s="46" t="s">
        <v>1061</v>
      </c>
      <c r="V43" s="46" t="s">
        <v>1146</v>
      </c>
      <c r="W43" s="46"/>
      <c r="X43" s="46" t="s">
        <v>1126</v>
      </c>
      <c r="Y43" s="46" t="s">
        <v>1153</v>
      </c>
    </row>
    <row r="44" customFormat="false" ht="15" hidden="false" customHeight="false" outlineLevel="0" collapsed="false">
      <c r="A44" s="46" t="s">
        <v>949</v>
      </c>
      <c r="B44" s="46" t="s">
        <v>1056</v>
      </c>
      <c r="C44" s="46" t="s">
        <v>950</v>
      </c>
      <c r="D44" s="46" t="s">
        <v>951</v>
      </c>
      <c r="E44" s="46" t="s">
        <v>1057</v>
      </c>
      <c r="F44" s="46" t="s">
        <v>1058</v>
      </c>
      <c r="G44" s="46" t="s">
        <v>288</v>
      </c>
      <c r="H44" s="46" t="s">
        <v>1073</v>
      </c>
      <c r="I44" s="46" t="s">
        <v>1066</v>
      </c>
      <c r="J44" s="46" t="s">
        <v>1154</v>
      </c>
      <c r="K44" s="46"/>
      <c r="L44" s="46"/>
      <c r="M44" s="46" t="s">
        <v>360</v>
      </c>
      <c r="N44" s="46" t="s">
        <v>346</v>
      </c>
      <c r="O44" s="46" t="s">
        <v>359</v>
      </c>
      <c r="P44" s="46"/>
      <c r="Q44" s="46"/>
      <c r="R44" s="47" t="n">
        <f aca="false">CMO_Tab5!H14</f>
        <v>0.68</v>
      </c>
      <c r="S44" s="46" t="s">
        <v>1155</v>
      </c>
      <c r="T44" s="46" t="s">
        <v>33</v>
      </c>
      <c r="U44" s="46" t="s">
        <v>1061</v>
      </c>
      <c r="V44" s="46" t="s">
        <v>1156</v>
      </c>
      <c r="W44" s="46"/>
      <c r="X44" s="46" t="s">
        <v>1157</v>
      </c>
      <c r="Y44" s="46" t="s">
        <v>1158</v>
      </c>
    </row>
    <row r="45" customFormat="false" ht="15" hidden="false" customHeight="false" outlineLevel="0" collapsed="false">
      <c r="A45" s="46" t="s">
        <v>953</v>
      </c>
      <c r="B45" s="46" t="s">
        <v>1056</v>
      </c>
      <c r="C45" s="46" t="s">
        <v>950</v>
      </c>
      <c r="D45" s="46" t="s">
        <v>356</v>
      </c>
      <c r="E45" s="46" t="s">
        <v>1101</v>
      </c>
      <c r="F45" s="46" t="s">
        <v>1102</v>
      </c>
      <c r="G45" s="46" t="s">
        <v>288</v>
      </c>
      <c r="H45" s="46" t="s">
        <v>1073</v>
      </c>
      <c r="I45" s="46" t="s">
        <v>1066</v>
      </c>
      <c r="J45" s="46" t="s">
        <v>1154</v>
      </c>
      <c r="K45" s="46"/>
      <c r="L45" s="46"/>
      <c r="M45" s="46" t="s">
        <v>360</v>
      </c>
      <c r="N45" s="46" t="s">
        <v>346</v>
      </c>
      <c r="O45" s="46" t="s">
        <v>359</v>
      </c>
      <c r="P45" s="46"/>
      <c r="Q45" s="46"/>
      <c r="R45" s="49" t="n">
        <f aca="false">CMO_Tab5!I14</f>
        <v>0</v>
      </c>
      <c r="S45" s="46" t="s">
        <v>1159</v>
      </c>
      <c r="T45" s="46" t="s">
        <v>33</v>
      </c>
      <c r="U45" s="46" t="s">
        <v>1160</v>
      </c>
      <c r="V45" s="46" t="s">
        <v>1156</v>
      </c>
      <c r="W45" s="46" t="s">
        <v>1161</v>
      </c>
      <c r="X45" s="46" t="s">
        <v>1157</v>
      </c>
      <c r="Y45" s="46" t="s">
        <v>1162</v>
      </c>
    </row>
    <row r="46" customFormat="false" ht="15" hidden="false" customHeight="false" outlineLevel="0" collapsed="false">
      <c r="A46" s="46" t="s">
        <v>955</v>
      </c>
      <c r="B46" s="46" t="s">
        <v>1056</v>
      </c>
      <c r="C46" s="46" t="s">
        <v>950</v>
      </c>
      <c r="D46" s="46" t="s">
        <v>240</v>
      </c>
      <c r="E46" s="46" t="s">
        <v>1163</v>
      </c>
      <c r="F46" s="46" t="s">
        <v>1102</v>
      </c>
      <c r="G46" s="46" t="s">
        <v>288</v>
      </c>
      <c r="H46" s="46" t="s">
        <v>1073</v>
      </c>
      <c r="I46" s="46" t="s">
        <v>1066</v>
      </c>
      <c r="J46" s="46" t="s">
        <v>1154</v>
      </c>
      <c r="K46" s="46"/>
      <c r="L46" s="46"/>
      <c r="M46" s="46" t="s">
        <v>360</v>
      </c>
      <c r="N46" s="46" t="s">
        <v>346</v>
      </c>
      <c r="O46" s="46" t="s">
        <v>359</v>
      </c>
      <c r="P46" s="46"/>
      <c r="Q46" s="46"/>
      <c r="R46" s="49" t="n">
        <f aca="false">CMO_Tab5!J14</f>
        <v>154</v>
      </c>
      <c r="S46" s="46" t="s">
        <v>1164</v>
      </c>
      <c r="T46" s="46" t="s">
        <v>33</v>
      </c>
      <c r="U46" s="46" t="s">
        <v>1160</v>
      </c>
      <c r="V46" s="46" t="s">
        <v>1156</v>
      </c>
      <c r="W46" s="46" t="s">
        <v>1161</v>
      </c>
      <c r="X46" s="46" t="s">
        <v>1157</v>
      </c>
      <c r="Y46" s="46" t="s">
        <v>1165</v>
      </c>
    </row>
    <row r="47" customFormat="false" ht="15" hidden="false" customHeight="false" outlineLevel="0" collapsed="false">
      <c r="A47" s="46" t="s">
        <v>956</v>
      </c>
      <c r="B47" s="46" t="s">
        <v>1056</v>
      </c>
      <c r="C47" s="46" t="s">
        <v>950</v>
      </c>
      <c r="D47" s="46" t="s">
        <v>357</v>
      </c>
      <c r="E47" s="46" t="s">
        <v>1106</v>
      </c>
      <c r="F47" s="46" t="s">
        <v>1107</v>
      </c>
      <c r="G47" s="46" t="s">
        <v>288</v>
      </c>
      <c r="H47" s="46" t="s">
        <v>1073</v>
      </c>
      <c r="I47" s="46" t="s">
        <v>1066</v>
      </c>
      <c r="J47" s="46" t="s">
        <v>1154</v>
      </c>
      <c r="K47" s="46"/>
      <c r="L47" s="46"/>
      <c r="M47" s="46" t="s">
        <v>360</v>
      </c>
      <c r="N47" s="46" t="s">
        <v>346</v>
      </c>
      <c r="O47" s="46" t="s">
        <v>359</v>
      </c>
      <c r="P47" s="46"/>
      <c r="Q47" s="46"/>
      <c r="R47" s="49" t="n">
        <f aca="false">CMO_Tab5!K14</f>
        <v>100</v>
      </c>
      <c r="S47" s="46" t="s">
        <v>1166</v>
      </c>
      <c r="T47" s="46" t="s">
        <v>33</v>
      </c>
      <c r="U47" s="46" t="s">
        <v>1160</v>
      </c>
      <c r="V47" s="46" t="s">
        <v>1156</v>
      </c>
      <c r="W47" s="46" t="s">
        <v>1161</v>
      </c>
      <c r="X47" s="46" t="s">
        <v>1157</v>
      </c>
      <c r="Y47" s="46" t="s">
        <v>1167</v>
      </c>
    </row>
    <row r="48" customFormat="false" ht="15" hidden="false" customHeight="false" outlineLevel="0" collapsed="false">
      <c r="A48" s="46" t="s">
        <v>957</v>
      </c>
      <c r="B48" s="46" t="s">
        <v>1056</v>
      </c>
      <c r="C48" s="46" t="s">
        <v>950</v>
      </c>
      <c r="D48" s="46" t="s">
        <v>358</v>
      </c>
      <c r="E48" s="46" t="s">
        <v>1168</v>
      </c>
      <c r="F48" s="46" t="s">
        <v>1110</v>
      </c>
      <c r="G48" s="46" t="s">
        <v>288</v>
      </c>
      <c r="H48" s="46" t="s">
        <v>1073</v>
      </c>
      <c r="I48" s="46" t="s">
        <v>1066</v>
      </c>
      <c r="J48" s="46" t="s">
        <v>1154</v>
      </c>
      <c r="K48" s="46"/>
      <c r="L48" s="46"/>
      <c r="M48" s="46" t="s">
        <v>360</v>
      </c>
      <c r="N48" s="46" t="s">
        <v>346</v>
      </c>
      <c r="O48" s="46" t="s">
        <v>359</v>
      </c>
      <c r="P48" s="46"/>
      <c r="Q48" s="46"/>
      <c r="R48" s="49" t="n">
        <f aca="false">CMO_Tab5!L14</f>
        <v>0</v>
      </c>
      <c r="S48" s="46" t="s">
        <v>1159</v>
      </c>
      <c r="T48" s="46" t="s">
        <v>33</v>
      </c>
      <c r="U48" s="46" t="s">
        <v>1160</v>
      </c>
      <c r="V48" s="46" t="s">
        <v>1156</v>
      </c>
      <c r="W48" s="46" t="s">
        <v>1161</v>
      </c>
      <c r="X48" s="46" t="s">
        <v>1157</v>
      </c>
      <c r="Y48" s="46" t="s">
        <v>1169</v>
      </c>
    </row>
    <row r="49" customFormat="false" ht="15" hidden="false" customHeight="false" outlineLevel="0" collapsed="false">
      <c r="A49" s="46" t="s">
        <v>958</v>
      </c>
      <c r="B49" s="46" t="s">
        <v>1056</v>
      </c>
      <c r="C49" s="46" t="s">
        <v>950</v>
      </c>
      <c r="D49" s="46" t="s">
        <v>951</v>
      </c>
      <c r="E49" s="46" t="s">
        <v>1057</v>
      </c>
      <c r="F49" s="46" t="s">
        <v>1058</v>
      </c>
      <c r="G49" s="46" t="s">
        <v>289</v>
      </c>
      <c r="H49" s="46" t="s">
        <v>1070</v>
      </c>
      <c r="I49" s="46" t="s">
        <v>1070</v>
      </c>
      <c r="J49" s="46" t="s">
        <v>1154</v>
      </c>
      <c r="K49" s="46"/>
      <c r="L49" s="46"/>
      <c r="M49" s="46" t="s">
        <v>362</v>
      </c>
      <c r="N49" s="46" t="s">
        <v>346</v>
      </c>
      <c r="O49" s="46" t="s">
        <v>361</v>
      </c>
      <c r="P49" s="46"/>
      <c r="Q49" s="46"/>
      <c r="R49" s="47" t="n">
        <f aca="false">CMO_Tab5!H15</f>
        <v>0.21</v>
      </c>
      <c r="S49" s="46" t="s">
        <v>1170</v>
      </c>
      <c r="T49" s="46" t="s">
        <v>33</v>
      </c>
      <c r="U49" s="46" t="s">
        <v>1061</v>
      </c>
      <c r="V49" s="46" t="s">
        <v>1156</v>
      </c>
      <c r="W49" s="46"/>
      <c r="X49" s="46" t="s">
        <v>1157</v>
      </c>
      <c r="Y49" s="46" t="s">
        <v>1171</v>
      </c>
    </row>
    <row r="50" customFormat="false" ht="15" hidden="false" customHeight="false" outlineLevel="0" collapsed="false">
      <c r="A50" s="46" t="s">
        <v>960</v>
      </c>
      <c r="B50" s="46" t="s">
        <v>1056</v>
      </c>
      <c r="C50" s="46" t="s">
        <v>950</v>
      </c>
      <c r="D50" s="46" t="s">
        <v>356</v>
      </c>
      <c r="E50" s="46" t="s">
        <v>1101</v>
      </c>
      <c r="F50" s="46" t="s">
        <v>1102</v>
      </c>
      <c r="G50" s="46" t="s">
        <v>289</v>
      </c>
      <c r="H50" s="46" t="s">
        <v>1070</v>
      </c>
      <c r="I50" s="46" t="s">
        <v>1070</v>
      </c>
      <c r="J50" s="46" t="s">
        <v>1154</v>
      </c>
      <c r="K50" s="46"/>
      <c r="L50" s="46"/>
      <c r="M50" s="46" t="s">
        <v>362</v>
      </c>
      <c r="N50" s="46" t="s">
        <v>346</v>
      </c>
      <c r="O50" s="46" t="s">
        <v>361</v>
      </c>
      <c r="P50" s="46"/>
      <c r="Q50" s="46"/>
      <c r="R50" s="49" t="n">
        <f aca="false">CMO_Tab5!I15</f>
        <v>210</v>
      </c>
      <c r="S50" s="46" t="s">
        <v>1172</v>
      </c>
      <c r="T50" s="46" t="s">
        <v>33</v>
      </c>
      <c r="U50" s="46" t="s">
        <v>1160</v>
      </c>
      <c r="V50" s="46" t="s">
        <v>1156</v>
      </c>
      <c r="W50" s="46" t="s">
        <v>1161</v>
      </c>
      <c r="X50" s="46" t="s">
        <v>1157</v>
      </c>
      <c r="Y50" s="46" t="s">
        <v>1173</v>
      </c>
    </row>
    <row r="51" customFormat="false" ht="15" hidden="false" customHeight="false" outlineLevel="0" collapsed="false">
      <c r="A51" s="46" t="s">
        <v>961</v>
      </c>
      <c r="B51" s="46" t="s">
        <v>1056</v>
      </c>
      <c r="C51" s="46" t="s">
        <v>950</v>
      </c>
      <c r="D51" s="46" t="s">
        <v>240</v>
      </c>
      <c r="E51" s="46" t="s">
        <v>1163</v>
      </c>
      <c r="F51" s="46" t="s">
        <v>1102</v>
      </c>
      <c r="G51" s="46" t="s">
        <v>289</v>
      </c>
      <c r="H51" s="46" t="s">
        <v>1070</v>
      </c>
      <c r="I51" s="46" t="s">
        <v>1070</v>
      </c>
      <c r="J51" s="46" t="s">
        <v>1154</v>
      </c>
      <c r="K51" s="46"/>
      <c r="L51" s="46"/>
      <c r="M51" s="46" t="s">
        <v>362</v>
      </c>
      <c r="N51" s="46" t="s">
        <v>346</v>
      </c>
      <c r="O51" s="46" t="s">
        <v>361</v>
      </c>
      <c r="P51" s="46"/>
      <c r="Q51" s="46"/>
      <c r="R51" s="49" t="n">
        <f aca="false">CMO_Tab5!J15</f>
        <v>23</v>
      </c>
      <c r="S51" s="46" t="s">
        <v>1174</v>
      </c>
      <c r="T51" s="46" t="s">
        <v>33</v>
      </c>
      <c r="U51" s="46" t="s">
        <v>1160</v>
      </c>
      <c r="V51" s="46" t="s">
        <v>1156</v>
      </c>
      <c r="W51" s="46" t="s">
        <v>1161</v>
      </c>
      <c r="X51" s="46" t="s">
        <v>1157</v>
      </c>
      <c r="Y51" s="46" t="s">
        <v>1175</v>
      </c>
    </row>
    <row r="52" customFormat="false" ht="15" hidden="false" customHeight="false" outlineLevel="0" collapsed="false">
      <c r="A52" s="46" t="s">
        <v>962</v>
      </c>
      <c r="B52" s="46" t="s">
        <v>1056</v>
      </c>
      <c r="C52" s="46" t="s">
        <v>950</v>
      </c>
      <c r="D52" s="46" t="s">
        <v>357</v>
      </c>
      <c r="E52" s="46" t="s">
        <v>1106</v>
      </c>
      <c r="F52" s="46" t="s">
        <v>1107</v>
      </c>
      <c r="G52" s="46" t="s">
        <v>289</v>
      </c>
      <c r="H52" s="46" t="s">
        <v>1070</v>
      </c>
      <c r="I52" s="46" t="s">
        <v>1070</v>
      </c>
      <c r="J52" s="46" t="s">
        <v>1154</v>
      </c>
      <c r="K52" s="46"/>
      <c r="L52" s="46"/>
      <c r="M52" s="46" t="s">
        <v>362</v>
      </c>
      <c r="N52" s="46" t="s">
        <v>346</v>
      </c>
      <c r="O52" s="46" t="s">
        <v>361</v>
      </c>
      <c r="P52" s="46"/>
      <c r="Q52" s="46"/>
      <c r="R52" s="49" t="n">
        <f aca="false">CMO_Tab5!K15</f>
        <v>58</v>
      </c>
      <c r="S52" s="46" t="s">
        <v>1176</v>
      </c>
      <c r="T52" s="46" t="s">
        <v>33</v>
      </c>
      <c r="U52" s="46" t="s">
        <v>1160</v>
      </c>
      <c r="V52" s="46" t="s">
        <v>1156</v>
      </c>
      <c r="W52" s="46" t="s">
        <v>1161</v>
      </c>
      <c r="X52" s="46" t="s">
        <v>1157</v>
      </c>
      <c r="Y52" s="46" t="s">
        <v>1177</v>
      </c>
    </row>
    <row r="53" customFormat="false" ht="15" hidden="false" customHeight="false" outlineLevel="0" collapsed="false">
      <c r="A53" s="46" t="s">
        <v>963</v>
      </c>
      <c r="B53" s="46" t="s">
        <v>1056</v>
      </c>
      <c r="C53" s="46" t="s">
        <v>950</v>
      </c>
      <c r="D53" s="46" t="s">
        <v>358</v>
      </c>
      <c r="E53" s="46" t="s">
        <v>1168</v>
      </c>
      <c r="F53" s="46" t="s">
        <v>1110</v>
      </c>
      <c r="G53" s="46" t="s">
        <v>289</v>
      </c>
      <c r="H53" s="46" t="s">
        <v>1070</v>
      </c>
      <c r="I53" s="46" t="s">
        <v>1070</v>
      </c>
      <c r="J53" s="46" t="s">
        <v>1154</v>
      </c>
      <c r="K53" s="46"/>
      <c r="L53" s="46"/>
      <c r="M53" s="46" t="s">
        <v>362</v>
      </c>
      <c r="N53" s="46" t="s">
        <v>346</v>
      </c>
      <c r="O53" s="46" t="s">
        <v>361</v>
      </c>
      <c r="P53" s="46"/>
      <c r="Q53" s="46"/>
      <c r="R53" s="49" t="n">
        <f aca="false">CMO_Tab5!L15</f>
        <v>34</v>
      </c>
      <c r="S53" s="46" t="s">
        <v>1178</v>
      </c>
      <c r="T53" s="46" t="s">
        <v>33</v>
      </c>
      <c r="U53" s="46" t="s">
        <v>1160</v>
      </c>
      <c r="V53" s="46" t="s">
        <v>1156</v>
      </c>
      <c r="W53" s="46" t="s">
        <v>1161</v>
      </c>
      <c r="X53" s="46" t="s">
        <v>1157</v>
      </c>
      <c r="Y53" s="46" t="s">
        <v>1179</v>
      </c>
    </row>
    <row r="54" customFormat="false" ht="15" hidden="false" customHeight="false" outlineLevel="0" collapsed="false">
      <c r="A54" s="46" t="s">
        <v>964</v>
      </c>
      <c r="B54" s="46" t="s">
        <v>1056</v>
      </c>
      <c r="C54" s="46" t="s">
        <v>950</v>
      </c>
      <c r="D54" s="46" t="s">
        <v>951</v>
      </c>
      <c r="E54" s="46" t="s">
        <v>1057</v>
      </c>
      <c r="F54" s="46" t="s">
        <v>1058</v>
      </c>
      <c r="G54" s="46" t="s">
        <v>288</v>
      </c>
      <c r="H54" s="46" t="s">
        <v>1070</v>
      </c>
      <c r="I54" s="46" t="s">
        <v>1070</v>
      </c>
      <c r="J54" s="46" t="s">
        <v>1180</v>
      </c>
      <c r="K54" s="46"/>
      <c r="L54" s="46"/>
      <c r="M54" s="46" t="s">
        <v>364</v>
      </c>
      <c r="N54" s="46" t="s">
        <v>346</v>
      </c>
      <c r="O54" s="46" t="s">
        <v>363</v>
      </c>
      <c r="P54" s="46"/>
      <c r="Q54" s="46"/>
      <c r="R54" s="47" t="n">
        <f aca="false">CMO_Tab5!H16</f>
        <v>0.65</v>
      </c>
      <c r="S54" s="46" t="s">
        <v>1074</v>
      </c>
      <c r="T54" s="46" t="s">
        <v>33</v>
      </c>
      <c r="U54" s="46" t="s">
        <v>1061</v>
      </c>
      <c r="V54" s="46" t="s">
        <v>1156</v>
      </c>
      <c r="W54" s="46"/>
      <c r="X54" s="46" t="s">
        <v>1157</v>
      </c>
      <c r="Y54" s="46" t="s">
        <v>1181</v>
      </c>
    </row>
    <row r="55" customFormat="false" ht="15" hidden="false" customHeight="false" outlineLevel="0" collapsed="false">
      <c r="A55" s="46" t="s">
        <v>966</v>
      </c>
      <c r="B55" s="46" t="s">
        <v>1056</v>
      </c>
      <c r="C55" s="46" t="s">
        <v>950</v>
      </c>
      <c r="D55" s="46" t="s">
        <v>356</v>
      </c>
      <c r="E55" s="46" t="s">
        <v>1101</v>
      </c>
      <c r="F55" s="46" t="s">
        <v>1102</v>
      </c>
      <c r="G55" s="46" t="s">
        <v>288</v>
      </c>
      <c r="H55" s="46" t="s">
        <v>1070</v>
      </c>
      <c r="I55" s="46" t="s">
        <v>1070</v>
      </c>
      <c r="J55" s="46" t="s">
        <v>1180</v>
      </c>
      <c r="K55" s="46"/>
      <c r="L55" s="46"/>
      <c r="M55" s="46" t="s">
        <v>364</v>
      </c>
      <c r="N55" s="46" t="s">
        <v>346</v>
      </c>
      <c r="O55" s="46" t="s">
        <v>363</v>
      </c>
      <c r="P55" s="46"/>
      <c r="Q55" s="46"/>
      <c r="R55" s="49" t="n">
        <f aca="false">CMO_Tab5!I16</f>
        <v>57</v>
      </c>
      <c r="S55" s="46" t="s">
        <v>1182</v>
      </c>
      <c r="T55" s="46" t="s">
        <v>33</v>
      </c>
      <c r="U55" s="46" t="s">
        <v>1160</v>
      </c>
      <c r="V55" s="46" t="s">
        <v>1156</v>
      </c>
      <c r="W55" s="46" t="s">
        <v>1161</v>
      </c>
      <c r="X55" s="46" t="s">
        <v>1157</v>
      </c>
      <c r="Y55" s="46" t="s">
        <v>1183</v>
      </c>
    </row>
    <row r="56" customFormat="false" ht="15" hidden="false" customHeight="false" outlineLevel="0" collapsed="false">
      <c r="A56" s="46" t="s">
        <v>967</v>
      </c>
      <c r="B56" s="46" t="s">
        <v>1056</v>
      </c>
      <c r="C56" s="46" t="s">
        <v>950</v>
      </c>
      <c r="D56" s="46" t="s">
        <v>240</v>
      </c>
      <c r="E56" s="46" t="s">
        <v>1163</v>
      </c>
      <c r="F56" s="46" t="s">
        <v>1102</v>
      </c>
      <c r="G56" s="46" t="s">
        <v>288</v>
      </c>
      <c r="H56" s="46" t="s">
        <v>1070</v>
      </c>
      <c r="I56" s="46" t="s">
        <v>1070</v>
      </c>
      <c r="J56" s="46" t="s">
        <v>1180</v>
      </c>
      <c r="K56" s="46"/>
      <c r="L56" s="46"/>
      <c r="M56" s="46" t="s">
        <v>364</v>
      </c>
      <c r="N56" s="46" t="s">
        <v>346</v>
      </c>
      <c r="O56" s="46" t="s">
        <v>363</v>
      </c>
      <c r="P56" s="46"/>
      <c r="Q56" s="46"/>
      <c r="R56" s="49" t="n">
        <f aca="false">CMO_Tab5!J16</f>
        <v>60</v>
      </c>
      <c r="S56" s="46" t="s">
        <v>1184</v>
      </c>
      <c r="T56" s="46" t="s">
        <v>33</v>
      </c>
      <c r="U56" s="46" t="s">
        <v>1160</v>
      </c>
      <c r="V56" s="46" t="s">
        <v>1156</v>
      </c>
      <c r="W56" s="46" t="s">
        <v>1161</v>
      </c>
      <c r="X56" s="46" t="s">
        <v>1157</v>
      </c>
      <c r="Y56" s="46" t="s">
        <v>1185</v>
      </c>
    </row>
    <row r="57" customFormat="false" ht="15" hidden="false" customHeight="false" outlineLevel="0" collapsed="false">
      <c r="A57" s="46" t="s">
        <v>968</v>
      </c>
      <c r="B57" s="46" t="s">
        <v>1056</v>
      </c>
      <c r="C57" s="46" t="s">
        <v>950</v>
      </c>
      <c r="D57" s="46" t="s">
        <v>357</v>
      </c>
      <c r="E57" s="46" t="s">
        <v>1106</v>
      </c>
      <c r="F57" s="46" t="s">
        <v>1107</v>
      </c>
      <c r="G57" s="46" t="s">
        <v>288</v>
      </c>
      <c r="H57" s="46" t="s">
        <v>1070</v>
      </c>
      <c r="I57" s="46" t="s">
        <v>1070</v>
      </c>
      <c r="J57" s="46" t="s">
        <v>1180</v>
      </c>
      <c r="K57" s="46"/>
      <c r="L57" s="46"/>
      <c r="M57" s="46" t="s">
        <v>364</v>
      </c>
      <c r="N57" s="46" t="s">
        <v>346</v>
      </c>
      <c r="O57" s="46" t="s">
        <v>363</v>
      </c>
      <c r="P57" s="46"/>
      <c r="Q57" s="46"/>
      <c r="R57" s="49" t="n">
        <f aca="false">CMO_Tab5!K16</f>
        <v>66</v>
      </c>
      <c r="S57" s="46" t="s">
        <v>1186</v>
      </c>
      <c r="T57" s="46" t="s">
        <v>33</v>
      </c>
      <c r="U57" s="46" t="s">
        <v>1160</v>
      </c>
      <c r="V57" s="46" t="s">
        <v>1156</v>
      </c>
      <c r="W57" s="46" t="s">
        <v>1161</v>
      </c>
      <c r="X57" s="46" t="s">
        <v>1157</v>
      </c>
      <c r="Y57" s="46" t="s">
        <v>1187</v>
      </c>
    </row>
    <row r="58" customFormat="false" ht="15" hidden="false" customHeight="false" outlineLevel="0" collapsed="false">
      <c r="A58" s="46" t="s">
        <v>969</v>
      </c>
      <c r="B58" s="46" t="s">
        <v>1056</v>
      </c>
      <c r="C58" s="46" t="s">
        <v>950</v>
      </c>
      <c r="D58" s="46" t="s">
        <v>358</v>
      </c>
      <c r="E58" s="46" t="s">
        <v>1168</v>
      </c>
      <c r="F58" s="46" t="s">
        <v>1110</v>
      </c>
      <c r="G58" s="46" t="s">
        <v>288</v>
      </c>
      <c r="H58" s="46" t="s">
        <v>1070</v>
      </c>
      <c r="I58" s="46" t="s">
        <v>1070</v>
      </c>
      <c r="J58" s="46" t="s">
        <v>1180</v>
      </c>
      <c r="K58" s="46"/>
      <c r="L58" s="46"/>
      <c r="M58" s="46" t="s">
        <v>364</v>
      </c>
      <c r="N58" s="46" t="s">
        <v>346</v>
      </c>
      <c r="O58" s="46" t="s">
        <v>363</v>
      </c>
      <c r="P58" s="46"/>
      <c r="Q58" s="46"/>
      <c r="R58" s="49" t="n">
        <f aca="false">CMO_Tab5!L16</f>
        <v>14</v>
      </c>
      <c r="S58" s="46" t="s">
        <v>1188</v>
      </c>
      <c r="T58" s="46" t="s">
        <v>33</v>
      </c>
      <c r="U58" s="46" t="s">
        <v>1160</v>
      </c>
      <c r="V58" s="46" t="s">
        <v>1156</v>
      </c>
      <c r="W58" s="46" t="s">
        <v>1161</v>
      </c>
      <c r="X58" s="46" t="s">
        <v>1157</v>
      </c>
      <c r="Y58" s="46" t="s">
        <v>1189</v>
      </c>
    </row>
    <row r="59" customFormat="false" ht="15" hidden="false" customHeight="false" outlineLevel="0" collapsed="false">
      <c r="A59" s="46" t="s">
        <v>970</v>
      </c>
      <c r="B59" s="46" t="s">
        <v>1056</v>
      </c>
      <c r="C59" s="46" t="s">
        <v>950</v>
      </c>
      <c r="D59" s="46" t="s">
        <v>951</v>
      </c>
      <c r="E59" s="46" t="s">
        <v>1057</v>
      </c>
      <c r="F59" s="46" t="s">
        <v>1058</v>
      </c>
      <c r="G59" s="46" t="s">
        <v>289</v>
      </c>
      <c r="H59" s="46" t="s">
        <v>1070</v>
      </c>
      <c r="I59" s="46" t="s">
        <v>1070</v>
      </c>
      <c r="J59" s="46" t="s">
        <v>1190</v>
      </c>
      <c r="K59" s="46"/>
      <c r="L59" s="46"/>
      <c r="M59" s="46" t="s">
        <v>365</v>
      </c>
      <c r="N59" s="46" t="s">
        <v>347</v>
      </c>
      <c r="O59" s="46" t="s">
        <v>359</v>
      </c>
      <c r="P59" s="46"/>
      <c r="Q59" s="46"/>
      <c r="R59" s="47" t="n">
        <f aca="false">CMO_Tab5!H17</f>
        <v>0.38</v>
      </c>
      <c r="S59" s="46" t="s">
        <v>1067</v>
      </c>
      <c r="T59" s="46" t="s">
        <v>33</v>
      </c>
      <c r="U59" s="46" t="s">
        <v>1061</v>
      </c>
      <c r="V59" s="46" t="s">
        <v>1156</v>
      </c>
      <c r="W59" s="46"/>
      <c r="X59" s="46" t="s">
        <v>1157</v>
      </c>
      <c r="Y59" s="46" t="s">
        <v>1191</v>
      </c>
    </row>
    <row r="60" customFormat="false" ht="15" hidden="false" customHeight="false" outlineLevel="0" collapsed="false">
      <c r="A60" s="46" t="s">
        <v>972</v>
      </c>
      <c r="B60" s="46" t="s">
        <v>1056</v>
      </c>
      <c r="C60" s="46" t="s">
        <v>950</v>
      </c>
      <c r="D60" s="46" t="s">
        <v>356</v>
      </c>
      <c r="E60" s="46" t="s">
        <v>1101</v>
      </c>
      <c r="F60" s="46" t="s">
        <v>1102</v>
      </c>
      <c r="G60" s="46" t="s">
        <v>289</v>
      </c>
      <c r="H60" s="46" t="s">
        <v>1070</v>
      </c>
      <c r="I60" s="46" t="s">
        <v>1070</v>
      </c>
      <c r="J60" s="46" t="s">
        <v>1190</v>
      </c>
      <c r="K60" s="46"/>
      <c r="L60" s="46"/>
      <c r="M60" s="46" t="s">
        <v>365</v>
      </c>
      <c r="N60" s="46" t="s">
        <v>347</v>
      </c>
      <c r="O60" s="46" t="s">
        <v>359</v>
      </c>
      <c r="P60" s="46"/>
      <c r="Q60" s="46"/>
      <c r="R60" s="49" t="n">
        <f aca="false">CMO_Tab5!I17</f>
        <v>210</v>
      </c>
      <c r="S60" s="46" t="s">
        <v>1172</v>
      </c>
      <c r="T60" s="46" t="s">
        <v>33</v>
      </c>
      <c r="U60" s="46" t="s">
        <v>1160</v>
      </c>
      <c r="V60" s="46" t="s">
        <v>1156</v>
      </c>
      <c r="W60" s="46" t="s">
        <v>1161</v>
      </c>
      <c r="X60" s="46" t="s">
        <v>1157</v>
      </c>
      <c r="Y60" s="46" t="s">
        <v>1192</v>
      </c>
    </row>
    <row r="61" customFormat="false" ht="15" hidden="false" customHeight="false" outlineLevel="0" collapsed="false">
      <c r="A61" s="46" t="s">
        <v>973</v>
      </c>
      <c r="B61" s="46" t="s">
        <v>1056</v>
      </c>
      <c r="C61" s="46" t="s">
        <v>950</v>
      </c>
      <c r="D61" s="46" t="s">
        <v>240</v>
      </c>
      <c r="E61" s="46" t="s">
        <v>1163</v>
      </c>
      <c r="F61" s="46" t="s">
        <v>1102</v>
      </c>
      <c r="G61" s="46" t="s">
        <v>289</v>
      </c>
      <c r="H61" s="46" t="s">
        <v>1070</v>
      </c>
      <c r="I61" s="46" t="s">
        <v>1070</v>
      </c>
      <c r="J61" s="46" t="s">
        <v>1190</v>
      </c>
      <c r="K61" s="46"/>
      <c r="L61" s="46"/>
      <c r="M61" s="46" t="s">
        <v>365</v>
      </c>
      <c r="N61" s="46" t="s">
        <v>347</v>
      </c>
      <c r="O61" s="46" t="s">
        <v>359</v>
      </c>
      <c r="P61" s="46"/>
      <c r="Q61" s="46"/>
      <c r="R61" s="49" t="n">
        <f aca="false">CMO_Tab5!J17</f>
        <v>25</v>
      </c>
      <c r="S61" s="46" t="s">
        <v>1193</v>
      </c>
      <c r="T61" s="46" t="s">
        <v>33</v>
      </c>
      <c r="U61" s="46" t="s">
        <v>1160</v>
      </c>
      <c r="V61" s="46" t="s">
        <v>1156</v>
      </c>
      <c r="W61" s="46" t="s">
        <v>1161</v>
      </c>
      <c r="X61" s="46" t="s">
        <v>1157</v>
      </c>
      <c r="Y61" s="46" t="s">
        <v>1194</v>
      </c>
    </row>
    <row r="62" customFormat="false" ht="15" hidden="false" customHeight="false" outlineLevel="0" collapsed="false">
      <c r="A62" s="46" t="s">
        <v>974</v>
      </c>
      <c r="B62" s="46" t="s">
        <v>1056</v>
      </c>
      <c r="C62" s="46" t="s">
        <v>950</v>
      </c>
      <c r="D62" s="46" t="s">
        <v>357</v>
      </c>
      <c r="E62" s="46" t="s">
        <v>1106</v>
      </c>
      <c r="F62" s="46" t="s">
        <v>1107</v>
      </c>
      <c r="G62" s="46" t="s">
        <v>289</v>
      </c>
      <c r="H62" s="46" t="s">
        <v>1070</v>
      </c>
      <c r="I62" s="46" t="s">
        <v>1070</v>
      </c>
      <c r="J62" s="46" t="s">
        <v>1190</v>
      </c>
      <c r="K62" s="46"/>
      <c r="L62" s="46"/>
      <c r="M62" s="46" t="s">
        <v>365</v>
      </c>
      <c r="N62" s="46" t="s">
        <v>347</v>
      </c>
      <c r="O62" s="46" t="s">
        <v>359</v>
      </c>
      <c r="P62" s="46"/>
      <c r="Q62" s="46"/>
      <c r="R62" s="49" t="n">
        <f aca="false">CMO_Tab5!K17</f>
        <v>66</v>
      </c>
      <c r="S62" s="46" t="s">
        <v>1186</v>
      </c>
      <c r="T62" s="46" t="s">
        <v>33</v>
      </c>
      <c r="U62" s="46" t="s">
        <v>1160</v>
      </c>
      <c r="V62" s="46" t="s">
        <v>1156</v>
      </c>
      <c r="W62" s="46" t="s">
        <v>1161</v>
      </c>
      <c r="X62" s="46" t="s">
        <v>1157</v>
      </c>
      <c r="Y62" s="46" t="s">
        <v>1195</v>
      </c>
    </row>
    <row r="63" customFormat="false" ht="15" hidden="false" customHeight="false" outlineLevel="0" collapsed="false">
      <c r="A63" s="46" t="s">
        <v>975</v>
      </c>
      <c r="B63" s="46" t="s">
        <v>1056</v>
      </c>
      <c r="C63" s="46" t="s">
        <v>950</v>
      </c>
      <c r="D63" s="46" t="s">
        <v>358</v>
      </c>
      <c r="E63" s="46" t="s">
        <v>1168</v>
      </c>
      <c r="F63" s="46" t="s">
        <v>1110</v>
      </c>
      <c r="G63" s="46" t="s">
        <v>289</v>
      </c>
      <c r="H63" s="46" t="s">
        <v>1070</v>
      </c>
      <c r="I63" s="46" t="s">
        <v>1070</v>
      </c>
      <c r="J63" s="46" t="s">
        <v>1190</v>
      </c>
      <c r="K63" s="46"/>
      <c r="L63" s="46"/>
      <c r="M63" s="46" t="s">
        <v>365</v>
      </c>
      <c r="N63" s="46" t="s">
        <v>347</v>
      </c>
      <c r="O63" s="46" t="s">
        <v>359</v>
      </c>
      <c r="P63" s="46"/>
      <c r="Q63" s="46"/>
      <c r="R63" s="49" t="n">
        <f aca="false">CMO_Tab5!L17</f>
        <v>31</v>
      </c>
      <c r="S63" s="46" t="s">
        <v>1196</v>
      </c>
      <c r="T63" s="46" t="s">
        <v>33</v>
      </c>
      <c r="U63" s="46" t="s">
        <v>1160</v>
      </c>
      <c r="V63" s="46" t="s">
        <v>1156</v>
      </c>
      <c r="W63" s="46" t="s">
        <v>1161</v>
      </c>
      <c r="X63" s="46" t="s">
        <v>1157</v>
      </c>
      <c r="Y63" s="46" t="s">
        <v>1197</v>
      </c>
    </row>
    <row r="64" customFormat="false" ht="15" hidden="false" customHeight="false" outlineLevel="0" collapsed="false">
      <c r="A64" s="46" t="s">
        <v>976</v>
      </c>
      <c r="B64" s="46" t="s">
        <v>1056</v>
      </c>
      <c r="C64" s="46" t="s">
        <v>950</v>
      </c>
      <c r="D64" s="46" t="s">
        <v>951</v>
      </c>
      <c r="E64" s="46" t="s">
        <v>1057</v>
      </c>
      <c r="F64" s="46" t="s">
        <v>1058</v>
      </c>
      <c r="G64" s="46" t="s">
        <v>290</v>
      </c>
      <c r="H64" s="46" t="s">
        <v>1070</v>
      </c>
      <c r="I64" s="46" t="s">
        <v>1070</v>
      </c>
      <c r="J64" s="46" t="s">
        <v>1190</v>
      </c>
      <c r="K64" s="46"/>
      <c r="L64" s="46"/>
      <c r="M64" s="46" t="s">
        <v>366</v>
      </c>
      <c r="N64" s="46" t="s">
        <v>347</v>
      </c>
      <c r="O64" s="46" t="s">
        <v>361</v>
      </c>
      <c r="P64" s="46"/>
      <c r="Q64" s="46"/>
      <c r="R64" s="47" t="n">
        <f aca="false">CMO_Tab5!H18</f>
        <v>0.24</v>
      </c>
      <c r="S64" s="46" t="s">
        <v>1198</v>
      </c>
      <c r="T64" s="46" t="s">
        <v>33</v>
      </c>
      <c r="U64" s="46" t="s">
        <v>1061</v>
      </c>
      <c r="V64" s="46" t="s">
        <v>1156</v>
      </c>
      <c r="W64" s="46"/>
      <c r="X64" s="46" t="s">
        <v>1157</v>
      </c>
      <c r="Y64" s="46" t="s">
        <v>1199</v>
      </c>
    </row>
    <row r="65" customFormat="false" ht="15" hidden="false" customHeight="false" outlineLevel="0" collapsed="false">
      <c r="A65" s="46" t="s">
        <v>978</v>
      </c>
      <c r="B65" s="46" t="s">
        <v>1056</v>
      </c>
      <c r="C65" s="46" t="s">
        <v>950</v>
      </c>
      <c r="D65" s="46" t="s">
        <v>356</v>
      </c>
      <c r="E65" s="46" t="s">
        <v>1101</v>
      </c>
      <c r="F65" s="46" t="s">
        <v>1102</v>
      </c>
      <c r="G65" s="46" t="s">
        <v>290</v>
      </c>
      <c r="H65" s="46" t="s">
        <v>1070</v>
      </c>
      <c r="I65" s="46" t="s">
        <v>1070</v>
      </c>
      <c r="J65" s="46" t="s">
        <v>1190</v>
      </c>
      <c r="K65" s="46"/>
      <c r="L65" s="46"/>
      <c r="M65" s="46" t="s">
        <v>366</v>
      </c>
      <c r="N65" s="46" t="s">
        <v>347</v>
      </c>
      <c r="O65" s="46" t="s">
        <v>361</v>
      </c>
      <c r="P65" s="46"/>
      <c r="Q65" s="46"/>
      <c r="R65" s="49" t="n">
        <f aca="false">CMO_Tab5!I18</f>
        <v>248</v>
      </c>
      <c r="S65" s="46" t="s">
        <v>1200</v>
      </c>
      <c r="T65" s="46" t="s">
        <v>33</v>
      </c>
      <c r="U65" s="46" t="s">
        <v>1160</v>
      </c>
      <c r="V65" s="46" t="s">
        <v>1156</v>
      </c>
      <c r="W65" s="46" t="s">
        <v>1161</v>
      </c>
      <c r="X65" s="46" t="s">
        <v>1157</v>
      </c>
      <c r="Y65" s="46" t="s">
        <v>1201</v>
      </c>
    </row>
    <row r="66" customFormat="false" ht="15" hidden="false" customHeight="false" outlineLevel="0" collapsed="false">
      <c r="A66" s="46" t="s">
        <v>979</v>
      </c>
      <c r="B66" s="46" t="s">
        <v>1056</v>
      </c>
      <c r="C66" s="46" t="s">
        <v>950</v>
      </c>
      <c r="D66" s="46" t="s">
        <v>240</v>
      </c>
      <c r="E66" s="46" t="s">
        <v>1163</v>
      </c>
      <c r="F66" s="46" t="s">
        <v>1102</v>
      </c>
      <c r="G66" s="46" t="s">
        <v>290</v>
      </c>
      <c r="H66" s="46" t="s">
        <v>1070</v>
      </c>
      <c r="I66" s="46" t="s">
        <v>1070</v>
      </c>
      <c r="J66" s="46" t="s">
        <v>1190</v>
      </c>
      <c r="K66" s="46"/>
      <c r="L66" s="46"/>
      <c r="M66" s="46" t="s">
        <v>366</v>
      </c>
      <c r="N66" s="46" t="s">
        <v>347</v>
      </c>
      <c r="O66" s="46" t="s">
        <v>361</v>
      </c>
      <c r="P66" s="46"/>
      <c r="Q66" s="46"/>
      <c r="R66" s="49" t="n">
        <f aca="false">CMO_Tab5!J18</f>
        <v>32</v>
      </c>
      <c r="S66" s="46" t="s">
        <v>1202</v>
      </c>
      <c r="T66" s="46" t="s">
        <v>33</v>
      </c>
      <c r="U66" s="46" t="s">
        <v>1160</v>
      </c>
      <c r="V66" s="46" t="s">
        <v>1156</v>
      </c>
      <c r="W66" s="46" t="s">
        <v>1161</v>
      </c>
      <c r="X66" s="46" t="s">
        <v>1157</v>
      </c>
      <c r="Y66" s="46" t="s">
        <v>1203</v>
      </c>
    </row>
    <row r="67" customFormat="false" ht="15" hidden="false" customHeight="false" outlineLevel="0" collapsed="false">
      <c r="A67" s="46" t="s">
        <v>980</v>
      </c>
      <c r="B67" s="46" t="s">
        <v>1056</v>
      </c>
      <c r="C67" s="46" t="s">
        <v>950</v>
      </c>
      <c r="D67" s="46" t="s">
        <v>357</v>
      </c>
      <c r="E67" s="46" t="s">
        <v>1106</v>
      </c>
      <c r="F67" s="46" t="s">
        <v>1107</v>
      </c>
      <c r="G67" s="46" t="s">
        <v>290</v>
      </c>
      <c r="H67" s="46" t="s">
        <v>1070</v>
      </c>
      <c r="I67" s="46" t="s">
        <v>1070</v>
      </c>
      <c r="J67" s="46" t="s">
        <v>1190</v>
      </c>
      <c r="K67" s="46"/>
      <c r="L67" s="46"/>
      <c r="M67" s="46" t="s">
        <v>366</v>
      </c>
      <c r="N67" s="46" t="s">
        <v>347</v>
      </c>
      <c r="O67" s="46" t="s">
        <v>361</v>
      </c>
      <c r="P67" s="46"/>
      <c r="Q67" s="46"/>
      <c r="R67" s="49" t="n">
        <f aca="false">CMO_Tab5!K18</f>
        <v>55</v>
      </c>
      <c r="S67" s="46" t="s">
        <v>1204</v>
      </c>
      <c r="T67" s="46" t="s">
        <v>33</v>
      </c>
      <c r="U67" s="46" t="s">
        <v>1160</v>
      </c>
      <c r="V67" s="46" t="s">
        <v>1156</v>
      </c>
      <c r="W67" s="46" t="s">
        <v>1161</v>
      </c>
      <c r="X67" s="46" t="s">
        <v>1157</v>
      </c>
      <c r="Y67" s="46" t="s">
        <v>1205</v>
      </c>
    </row>
    <row r="68" customFormat="false" ht="15" hidden="false" customHeight="false" outlineLevel="0" collapsed="false">
      <c r="A68" s="46" t="s">
        <v>981</v>
      </c>
      <c r="B68" s="46" t="s">
        <v>1056</v>
      </c>
      <c r="C68" s="46" t="s">
        <v>950</v>
      </c>
      <c r="D68" s="46" t="s">
        <v>358</v>
      </c>
      <c r="E68" s="46" t="s">
        <v>1168</v>
      </c>
      <c r="F68" s="46" t="s">
        <v>1110</v>
      </c>
      <c r="G68" s="46" t="s">
        <v>290</v>
      </c>
      <c r="H68" s="46" t="s">
        <v>1070</v>
      </c>
      <c r="I68" s="46" t="s">
        <v>1070</v>
      </c>
      <c r="J68" s="46" t="s">
        <v>1190</v>
      </c>
      <c r="K68" s="46"/>
      <c r="L68" s="46"/>
      <c r="M68" s="46" t="s">
        <v>366</v>
      </c>
      <c r="N68" s="46" t="s">
        <v>347</v>
      </c>
      <c r="O68" s="46" t="s">
        <v>361</v>
      </c>
      <c r="P68" s="46"/>
      <c r="Q68" s="46"/>
      <c r="R68" s="49" t="n">
        <f aca="false">CMO_Tab5!L18</f>
        <v>38</v>
      </c>
      <c r="S68" s="46" t="s">
        <v>1206</v>
      </c>
      <c r="T68" s="46" t="s">
        <v>33</v>
      </c>
      <c r="U68" s="46" t="s">
        <v>1160</v>
      </c>
      <c r="V68" s="46" t="s">
        <v>1156</v>
      </c>
      <c r="W68" s="46" t="s">
        <v>1161</v>
      </c>
      <c r="X68" s="46" t="s">
        <v>1157</v>
      </c>
      <c r="Y68" s="46" t="s">
        <v>1207</v>
      </c>
    </row>
    <row r="69" customFormat="false" ht="15" hidden="false" customHeight="false" outlineLevel="0" collapsed="false">
      <c r="A69" s="46" t="s">
        <v>982</v>
      </c>
      <c r="B69" s="46" t="s">
        <v>1056</v>
      </c>
      <c r="C69" s="46" t="s">
        <v>950</v>
      </c>
      <c r="D69" s="46" t="s">
        <v>951</v>
      </c>
      <c r="E69" s="46" t="s">
        <v>1057</v>
      </c>
      <c r="F69" s="46" t="s">
        <v>1058</v>
      </c>
      <c r="G69" s="46" t="s">
        <v>289</v>
      </c>
      <c r="H69" s="46" t="s">
        <v>1070</v>
      </c>
      <c r="I69" s="46" t="s">
        <v>1070</v>
      </c>
      <c r="J69" s="46" t="s">
        <v>1180</v>
      </c>
      <c r="K69" s="46"/>
      <c r="L69" s="46"/>
      <c r="M69" s="46" t="s">
        <v>367</v>
      </c>
      <c r="N69" s="46" t="s">
        <v>347</v>
      </c>
      <c r="O69" s="46" t="s">
        <v>363</v>
      </c>
      <c r="P69" s="46"/>
      <c r="Q69" s="46"/>
      <c r="R69" s="47" t="n">
        <f aca="false">CMO_Tab5!H19</f>
        <v>0.31</v>
      </c>
      <c r="S69" s="46" t="s">
        <v>1208</v>
      </c>
      <c r="T69" s="46" t="s">
        <v>33</v>
      </c>
      <c r="U69" s="46" t="s">
        <v>1061</v>
      </c>
      <c r="V69" s="46" t="s">
        <v>1156</v>
      </c>
      <c r="W69" s="46"/>
      <c r="X69" s="46" t="s">
        <v>1157</v>
      </c>
      <c r="Y69" s="46" t="s">
        <v>1209</v>
      </c>
    </row>
    <row r="70" customFormat="false" ht="15" hidden="false" customHeight="false" outlineLevel="0" collapsed="false">
      <c r="A70" s="46" t="s">
        <v>984</v>
      </c>
      <c r="B70" s="46" t="s">
        <v>1056</v>
      </c>
      <c r="C70" s="46" t="s">
        <v>950</v>
      </c>
      <c r="D70" s="46" t="s">
        <v>356</v>
      </c>
      <c r="E70" s="46" t="s">
        <v>1101</v>
      </c>
      <c r="F70" s="46" t="s">
        <v>1102</v>
      </c>
      <c r="G70" s="46" t="s">
        <v>289</v>
      </c>
      <c r="H70" s="46" t="s">
        <v>1070</v>
      </c>
      <c r="I70" s="46" t="s">
        <v>1070</v>
      </c>
      <c r="J70" s="46" t="s">
        <v>1180</v>
      </c>
      <c r="K70" s="46"/>
      <c r="L70" s="46"/>
      <c r="M70" s="46" t="s">
        <v>367</v>
      </c>
      <c r="N70" s="46" t="s">
        <v>347</v>
      </c>
      <c r="O70" s="46" t="s">
        <v>363</v>
      </c>
      <c r="P70" s="46"/>
      <c r="Q70" s="46"/>
      <c r="R70" s="49" t="n">
        <f aca="false">CMO_Tab5!I19</f>
        <v>200</v>
      </c>
      <c r="S70" s="46" t="s">
        <v>471</v>
      </c>
      <c r="T70" s="46" t="s">
        <v>33</v>
      </c>
      <c r="U70" s="46" t="s">
        <v>1160</v>
      </c>
      <c r="V70" s="46" t="s">
        <v>1156</v>
      </c>
      <c r="W70" s="46" t="s">
        <v>1161</v>
      </c>
      <c r="X70" s="46" t="s">
        <v>1157</v>
      </c>
      <c r="Y70" s="46" t="s">
        <v>1210</v>
      </c>
    </row>
    <row r="71" customFormat="false" ht="15" hidden="false" customHeight="false" outlineLevel="0" collapsed="false">
      <c r="A71" s="46" t="s">
        <v>985</v>
      </c>
      <c r="B71" s="46" t="s">
        <v>1056</v>
      </c>
      <c r="C71" s="46" t="s">
        <v>950</v>
      </c>
      <c r="D71" s="46" t="s">
        <v>240</v>
      </c>
      <c r="E71" s="46" t="s">
        <v>1163</v>
      </c>
      <c r="F71" s="46" t="s">
        <v>1102</v>
      </c>
      <c r="G71" s="46" t="s">
        <v>289</v>
      </c>
      <c r="H71" s="46" t="s">
        <v>1070</v>
      </c>
      <c r="I71" s="46" t="s">
        <v>1070</v>
      </c>
      <c r="J71" s="46" t="s">
        <v>1180</v>
      </c>
      <c r="K71" s="46"/>
      <c r="L71" s="46"/>
      <c r="M71" s="46" t="s">
        <v>367</v>
      </c>
      <c r="N71" s="46" t="s">
        <v>347</v>
      </c>
      <c r="O71" s="46" t="s">
        <v>363</v>
      </c>
      <c r="P71" s="46"/>
      <c r="Q71" s="46"/>
      <c r="R71" s="49" t="n">
        <f aca="false">CMO_Tab5!J19</f>
        <v>30</v>
      </c>
      <c r="S71" s="46" t="s">
        <v>1211</v>
      </c>
      <c r="T71" s="46" t="s">
        <v>33</v>
      </c>
      <c r="U71" s="46" t="s">
        <v>1160</v>
      </c>
      <c r="V71" s="46" t="s">
        <v>1156</v>
      </c>
      <c r="W71" s="46" t="s">
        <v>1161</v>
      </c>
      <c r="X71" s="46" t="s">
        <v>1157</v>
      </c>
      <c r="Y71" s="46" t="s">
        <v>1212</v>
      </c>
    </row>
    <row r="72" customFormat="false" ht="15" hidden="false" customHeight="false" outlineLevel="0" collapsed="false">
      <c r="A72" s="46" t="s">
        <v>986</v>
      </c>
      <c r="B72" s="46" t="s">
        <v>1056</v>
      </c>
      <c r="C72" s="46" t="s">
        <v>950</v>
      </c>
      <c r="D72" s="46" t="s">
        <v>357</v>
      </c>
      <c r="E72" s="46" t="s">
        <v>1106</v>
      </c>
      <c r="F72" s="46" t="s">
        <v>1107</v>
      </c>
      <c r="G72" s="46" t="s">
        <v>289</v>
      </c>
      <c r="H72" s="46" t="s">
        <v>1070</v>
      </c>
      <c r="I72" s="46" t="s">
        <v>1070</v>
      </c>
      <c r="J72" s="46" t="s">
        <v>1180</v>
      </c>
      <c r="K72" s="46"/>
      <c r="L72" s="46"/>
      <c r="M72" s="46" t="s">
        <v>367</v>
      </c>
      <c r="N72" s="46" t="s">
        <v>347</v>
      </c>
      <c r="O72" s="46" t="s">
        <v>363</v>
      </c>
      <c r="P72" s="46"/>
      <c r="Q72" s="46"/>
      <c r="R72" s="49" t="n">
        <f aca="false">CMO_Tab5!K19</f>
        <v>58</v>
      </c>
      <c r="S72" s="46" t="s">
        <v>1176</v>
      </c>
      <c r="T72" s="46" t="s">
        <v>33</v>
      </c>
      <c r="U72" s="46" t="s">
        <v>1160</v>
      </c>
      <c r="V72" s="46" t="s">
        <v>1156</v>
      </c>
      <c r="W72" s="46" t="s">
        <v>1161</v>
      </c>
      <c r="X72" s="46" t="s">
        <v>1157</v>
      </c>
      <c r="Y72" s="46" t="s">
        <v>1213</v>
      </c>
    </row>
    <row r="73" customFormat="false" ht="15" hidden="false" customHeight="false" outlineLevel="0" collapsed="false">
      <c r="A73" s="46" t="s">
        <v>987</v>
      </c>
      <c r="B73" s="46" t="s">
        <v>1056</v>
      </c>
      <c r="C73" s="46" t="s">
        <v>950</v>
      </c>
      <c r="D73" s="46" t="s">
        <v>358</v>
      </c>
      <c r="E73" s="46" t="s">
        <v>1168</v>
      </c>
      <c r="F73" s="46" t="s">
        <v>1110</v>
      </c>
      <c r="G73" s="46" t="s">
        <v>289</v>
      </c>
      <c r="H73" s="46" t="s">
        <v>1070</v>
      </c>
      <c r="I73" s="46" t="s">
        <v>1070</v>
      </c>
      <c r="J73" s="46" t="s">
        <v>1180</v>
      </c>
      <c r="K73" s="46"/>
      <c r="L73" s="46"/>
      <c r="M73" s="46" t="s">
        <v>367</v>
      </c>
      <c r="N73" s="46" t="s">
        <v>347</v>
      </c>
      <c r="O73" s="46" t="s">
        <v>363</v>
      </c>
      <c r="P73" s="46"/>
      <c r="Q73" s="46"/>
      <c r="R73" s="49" t="n">
        <f aca="false">CMO_Tab5!L19</f>
        <v>28</v>
      </c>
      <c r="S73" s="46" t="s">
        <v>1214</v>
      </c>
      <c r="T73" s="46" t="s">
        <v>33</v>
      </c>
      <c r="U73" s="46" t="s">
        <v>1160</v>
      </c>
      <c r="V73" s="46" t="s">
        <v>1156</v>
      </c>
      <c r="W73" s="46" t="s">
        <v>1161</v>
      </c>
      <c r="X73" s="46" t="s">
        <v>1157</v>
      </c>
      <c r="Y73" s="46" t="s">
        <v>1215</v>
      </c>
    </row>
    <row r="74" customFormat="false" ht="15" hidden="false" customHeight="false" outlineLevel="0" collapsed="false">
      <c r="A74" s="46" t="s">
        <v>988</v>
      </c>
      <c r="B74" s="46" t="s">
        <v>1056</v>
      </c>
      <c r="C74" s="46" t="s">
        <v>950</v>
      </c>
      <c r="D74" s="46" t="s">
        <v>951</v>
      </c>
      <c r="E74" s="46" t="s">
        <v>1057</v>
      </c>
      <c r="F74" s="46" t="s">
        <v>1058</v>
      </c>
      <c r="G74" s="46" t="s">
        <v>288</v>
      </c>
      <c r="H74" s="46" t="s">
        <v>1066</v>
      </c>
      <c r="I74" s="46" t="s">
        <v>1066</v>
      </c>
      <c r="J74" s="46" t="s">
        <v>1190</v>
      </c>
      <c r="K74" s="46"/>
      <c r="L74" s="46"/>
      <c r="M74" s="46" t="s">
        <v>368</v>
      </c>
      <c r="N74" s="46" t="s">
        <v>348</v>
      </c>
      <c r="O74" s="46" t="s">
        <v>359</v>
      </c>
      <c r="P74" s="46"/>
      <c r="Q74" s="46"/>
      <c r="R74" s="47" t="n">
        <f aca="false">CMO_Tab5!H20</f>
        <v>1</v>
      </c>
      <c r="S74" s="46" t="s">
        <v>1216</v>
      </c>
      <c r="T74" s="46" t="s">
        <v>33</v>
      </c>
      <c r="U74" s="46" t="s">
        <v>607</v>
      </c>
      <c r="V74" s="46" t="s">
        <v>1156</v>
      </c>
      <c r="W74" s="46"/>
      <c r="X74" s="46" t="s">
        <v>1157</v>
      </c>
      <c r="Y74" s="46" t="s">
        <v>1217</v>
      </c>
    </row>
    <row r="75" customFormat="false" ht="15" hidden="false" customHeight="false" outlineLevel="0" collapsed="false">
      <c r="A75" s="46" t="s">
        <v>990</v>
      </c>
      <c r="B75" s="46" t="s">
        <v>1056</v>
      </c>
      <c r="C75" s="46" t="s">
        <v>950</v>
      </c>
      <c r="D75" s="46" t="s">
        <v>356</v>
      </c>
      <c r="E75" s="46" t="s">
        <v>1101</v>
      </c>
      <c r="F75" s="46" t="s">
        <v>1102</v>
      </c>
      <c r="G75" s="46" t="s">
        <v>288</v>
      </c>
      <c r="H75" s="46" t="s">
        <v>1066</v>
      </c>
      <c r="I75" s="46" t="s">
        <v>1066</v>
      </c>
      <c r="J75" s="46" t="s">
        <v>1190</v>
      </c>
      <c r="K75" s="46"/>
      <c r="L75" s="46"/>
      <c r="M75" s="46" t="s">
        <v>368</v>
      </c>
      <c r="N75" s="46" t="s">
        <v>348</v>
      </c>
      <c r="O75" s="46" t="s">
        <v>359</v>
      </c>
      <c r="P75" s="46"/>
      <c r="Q75" s="46"/>
      <c r="R75" s="49" t="n">
        <f aca="false">CMO_Tab5!I20</f>
        <v>0</v>
      </c>
      <c r="S75" s="46" t="s">
        <v>1159</v>
      </c>
      <c r="T75" s="46" t="s">
        <v>33</v>
      </c>
      <c r="U75" s="46" t="s">
        <v>1160</v>
      </c>
      <c r="V75" s="46" t="s">
        <v>1156</v>
      </c>
      <c r="W75" s="46" t="s">
        <v>1161</v>
      </c>
      <c r="X75" s="46" t="s">
        <v>1157</v>
      </c>
      <c r="Y75" s="46" t="s">
        <v>1218</v>
      </c>
    </row>
    <row r="76" customFormat="false" ht="15" hidden="false" customHeight="false" outlineLevel="0" collapsed="false">
      <c r="A76" s="46" t="s">
        <v>991</v>
      </c>
      <c r="B76" s="46" t="s">
        <v>1056</v>
      </c>
      <c r="C76" s="46" t="s">
        <v>950</v>
      </c>
      <c r="D76" s="46" t="s">
        <v>240</v>
      </c>
      <c r="E76" s="46" t="s">
        <v>1163</v>
      </c>
      <c r="F76" s="46" t="s">
        <v>1102</v>
      </c>
      <c r="G76" s="46" t="s">
        <v>288</v>
      </c>
      <c r="H76" s="46" t="s">
        <v>1066</v>
      </c>
      <c r="I76" s="46" t="s">
        <v>1066</v>
      </c>
      <c r="J76" s="46" t="s">
        <v>1190</v>
      </c>
      <c r="K76" s="46"/>
      <c r="L76" s="46"/>
      <c r="M76" s="46" t="s">
        <v>368</v>
      </c>
      <c r="N76" s="46" t="s">
        <v>348</v>
      </c>
      <c r="O76" s="46" t="s">
        <v>359</v>
      </c>
      <c r="P76" s="46"/>
      <c r="Q76" s="46"/>
      <c r="R76" s="49" t="n">
        <f aca="false">CMO_Tab5!J20</f>
        <v>0</v>
      </c>
      <c r="S76" s="46" t="s">
        <v>1159</v>
      </c>
      <c r="T76" s="46" t="s">
        <v>33</v>
      </c>
      <c r="U76" s="46" t="s">
        <v>1160</v>
      </c>
      <c r="V76" s="46" t="s">
        <v>1156</v>
      </c>
      <c r="W76" s="46" t="s">
        <v>1161</v>
      </c>
      <c r="X76" s="46" t="s">
        <v>1157</v>
      </c>
      <c r="Y76" s="46" t="s">
        <v>1219</v>
      </c>
    </row>
    <row r="77" customFormat="false" ht="15" hidden="false" customHeight="false" outlineLevel="0" collapsed="false">
      <c r="A77" s="46" t="s">
        <v>992</v>
      </c>
      <c r="B77" s="46" t="s">
        <v>1056</v>
      </c>
      <c r="C77" s="46" t="s">
        <v>950</v>
      </c>
      <c r="D77" s="46" t="s">
        <v>357</v>
      </c>
      <c r="E77" s="46" t="s">
        <v>1106</v>
      </c>
      <c r="F77" s="46" t="s">
        <v>1107</v>
      </c>
      <c r="G77" s="46" t="s">
        <v>288</v>
      </c>
      <c r="H77" s="46" t="s">
        <v>1066</v>
      </c>
      <c r="I77" s="46" t="s">
        <v>1066</v>
      </c>
      <c r="J77" s="46" t="s">
        <v>1190</v>
      </c>
      <c r="K77" s="46"/>
      <c r="L77" s="46"/>
      <c r="M77" s="46" t="s">
        <v>368</v>
      </c>
      <c r="N77" s="46" t="s">
        <v>348</v>
      </c>
      <c r="O77" s="46" t="s">
        <v>359</v>
      </c>
      <c r="P77" s="46"/>
      <c r="Q77" s="46"/>
      <c r="R77" s="49" t="n">
        <f aca="false">CMO_Tab5!K20</f>
        <v>100</v>
      </c>
      <c r="S77" s="46" t="s">
        <v>1166</v>
      </c>
      <c r="T77" s="46" t="s">
        <v>33</v>
      </c>
      <c r="U77" s="46" t="s">
        <v>1160</v>
      </c>
      <c r="V77" s="46" t="s">
        <v>1156</v>
      </c>
      <c r="W77" s="46" t="s">
        <v>1161</v>
      </c>
      <c r="X77" s="46" t="s">
        <v>1157</v>
      </c>
      <c r="Y77" s="46" t="s">
        <v>1220</v>
      </c>
    </row>
    <row r="78" customFormat="false" ht="15" hidden="false" customHeight="false" outlineLevel="0" collapsed="false">
      <c r="A78" s="46" t="s">
        <v>993</v>
      </c>
      <c r="B78" s="46" t="s">
        <v>1056</v>
      </c>
      <c r="C78" s="46" t="s">
        <v>950</v>
      </c>
      <c r="D78" s="46" t="s">
        <v>358</v>
      </c>
      <c r="E78" s="46" t="s">
        <v>1168</v>
      </c>
      <c r="F78" s="46" t="s">
        <v>1110</v>
      </c>
      <c r="G78" s="46" t="s">
        <v>288</v>
      </c>
      <c r="H78" s="46" t="s">
        <v>1066</v>
      </c>
      <c r="I78" s="46" t="s">
        <v>1066</v>
      </c>
      <c r="J78" s="46" t="s">
        <v>1190</v>
      </c>
      <c r="K78" s="46"/>
      <c r="L78" s="46"/>
      <c r="M78" s="46" t="s">
        <v>368</v>
      </c>
      <c r="N78" s="46" t="s">
        <v>348</v>
      </c>
      <c r="O78" s="46" t="s">
        <v>359</v>
      </c>
      <c r="P78" s="46"/>
      <c r="Q78" s="46"/>
      <c r="R78" s="49" t="n">
        <f aca="false">CMO_Tab5!L20</f>
        <v>0</v>
      </c>
      <c r="S78" s="46" t="s">
        <v>1159</v>
      </c>
      <c r="T78" s="46" t="s">
        <v>33</v>
      </c>
      <c r="U78" s="46" t="s">
        <v>1160</v>
      </c>
      <c r="V78" s="46" t="s">
        <v>1156</v>
      </c>
      <c r="W78" s="46" t="s">
        <v>1161</v>
      </c>
      <c r="X78" s="46" t="s">
        <v>1157</v>
      </c>
      <c r="Y78" s="46" t="s">
        <v>1221</v>
      </c>
    </row>
    <row r="79" customFormat="false" ht="15" hidden="false" customHeight="false" outlineLevel="0" collapsed="false">
      <c r="A79" s="46" t="s">
        <v>994</v>
      </c>
      <c r="B79" s="46" t="s">
        <v>1056</v>
      </c>
      <c r="C79" s="46" t="s">
        <v>950</v>
      </c>
      <c r="D79" s="46" t="s">
        <v>951</v>
      </c>
      <c r="E79" s="46" t="s">
        <v>1057</v>
      </c>
      <c r="F79" s="46" t="s">
        <v>1058</v>
      </c>
      <c r="G79" s="46" t="s">
        <v>289</v>
      </c>
      <c r="H79" s="46" t="s">
        <v>1066</v>
      </c>
      <c r="I79" s="46" t="s">
        <v>1066</v>
      </c>
      <c r="J79" s="46" t="s">
        <v>1190</v>
      </c>
      <c r="K79" s="46"/>
      <c r="L79" s="46"/>
      <c r="M79" s="46" t="s">
        <v>369</v>
      </c>
      <c r="N79" s="46" t="s">
        <v>348</v>
      </c>
      <c r="O79" s="46" t="s">
        <v>361</v>
      </c>
      <c r="P79" s="46"/>
      <c r="Q79" s="46"/>
      <c r="R79" s="47" t="n">
        <f aca="false">CMO_Tab5!H21</f>
        <v>0</v>
      </c>
      <c r="S79" s="46" t="s">
        <v>1159</v>
      </c>
      <c r="T79" s="46" t="s">
        <v>33</v>
      </c>
      <c r="U79" s="46" t="s">
        <v>1160</v>
      </c>
      <c r="V79" s="46" t="s">
        <v>1156</v>
      </c>
      <c r="W79" s="46"/>
      <c r="X79" s="46" t="s">
        <v>1157</v>
      </c>
      <c r="Y79" s="46" t="s">
        <v>1222</v>
      </c>
    </row>
    <row r="80" customFormat="false" ht="15" hidden="false" customHeight="false" outlineLevel="0" collapsed="false">
      <c r="A80" s="46" t="s">
        <v>996</v>
      </c>
      <c r="B80" s="46" t="s">
        <v>1056</v>
      </c>
      <c r="C80" s="46" t="s">
        <v>950</v>
      </c>
      <c r="D80" s="46" t="s">
        <v>356</v>
      </c>
      <c r="E80" s="46" t="s">
        <v>1101</v>
      </c>
      <c r="F80" s="46" t="s">
        <v>1102</v>
      </c>
      <c r="G80" s="46" t="s">
        <v>289</v>
      </c>
      <c r="H80" s="46" t="s">
        <v>1066</v>
      </c>
      <c r="I80" s="46" t="s">
        <v>1066</v>
      </c>
      <c r="J80" s="46" t="s">
        <v>1190</v>
      </c>
      <c r="K80" s="46"/>
      <c r="L80" s="46"/>
      <c r="M80" s="46" t="s">
        <v>369</v>
      </c>
      <c r="N80" s="46" t="s">
        <v>348</v>
      </c>
      <c r="O80" s="46" t="s">
        <v>361</v>
      </c>
      <c r="P80" s="46"/>
      <c r="Q80" s="46"/>
      <c r="R80" s="49" t="n">
        <f aca="false">CMO_Tab5!I21</f>
        <v>310</v>
      </c>
      <c r="S80" s="46" t="s">
        <v>1223</v>
      </c>
      <c r="T80" s="46" t="s">
        <v>33</v>
      </c>
      <c r="U80" s="46" t="s">
        <v>1160</v>
      </c>
      <c r="V80" s="46" t="s">
        <v>1156</v>
      </c>
      <c r="W80" s="46" t="s">
        <v>1161</v>
      </c>
      <c r="X80" s="46" t="s">
        <v>1157</v>
      </c>
      <c r="Y80" s="46" t="s">
        <v>1224</v>
      </c>
    </row>
    <row r="81" customFormat="false" ht="15" hidden="false" customHeight="false" outlineLevel="0" collapsed="false">
      <c r="A81" s="46" t="s">
        <v>997</v>
      </c>
      <c r="B81" s="46" t="s">
        <v>1056</v>
      </c>
      <c r="C81" s="46" t="s">
        <v>950</v>
      </c>
      <c r="D81" s="46" t="s">
        <v>240</v>
      </c>
      <c r="E81" s="46" t="s">
        <v>1163</v>
      </c>
      <c r="F81" s="46" t="s">
        <v>1102</v>
      </c>
      <c r="G81" s="46" t="s">
        <v>289</v>
      </c>
      <c r="H81" s="46" t="s">
        <v>1066</v>
      </c>
      <c r="I81" s="46" t="s">
        <v>1066</v>
      </c>
      <c r="J81" s="46" t="s">
        <v>1190</v>
      </c>
      <c r="K81" s="46"/>
      <c r="L81" s="46"/>
      <c r="M81" s="46" t="s">
        <v>369</v>
      </c>
      <c r="N81" s="46" t="s">
        <v>348</v>
      </c>
      <c r="O81" s="46" t="s">
        <v>361</v>
      </c>
      <c r="P81" s="46"/>
      <c r="Q81" s="46"/>
      <c r="R81" s="49" t="n">
        <f aca="false">CMO_Tab5!J21</f>
        <v>0</v>
      </c>
      <c r="S81" s="46" t="s">
        <v>1159</v>
      </c>
      <c r="T81" s="46" t="s">
        <v>33</v>
      </c>
      <c r="U81" s="46" t="s">
        <v>1160</v>
      </c>
      <c r="V81" s="46" t="s">
        <v>1156</v>
      </c>
      <c r="W81" s="46" t="s">
        <v>1161</v>
      </c>
      <c r="X81" s="46" t="s">
        <v>1157</v>
      </c>
      <c r="Y81" s="46" t="s">
        <v>1225</v>
      </c>
    </row>
    <row r="82" customFormat="false" ht="15" hidden="false" customHeight="false" outlineLevel="0" collapsed="false">
      <c r="A82" s="46" t="s">
        <v>998</v>
      </c>
      <c r="B82" s="46" t="s">
        <v>1056</v>
      </c>
      <c r="C82" s="46" t="s">
        <v>950</v>
      </c>
      <c r="D82" s="46" t="s">
        <v>357</v>
      </c>
      <c r="E82" s="46" t="s">
        <v>1106</v>
      </c>
      <c r="F82" s="46" t="s">
        <v>1107</v>
      </c>
      <c r="G82" s="46" t="s">
        <v>289</v>
      </c>
      <c r="H82" s="46" t="s">
        <v>1066</v>
      </c>
      <c r="I82" s="46" t="s">
        <v>1066</v>
      </c>
      <c r="J82" s="46" t="s">
        <v>1190</v>
      </c>
      <c r="K82" s="46"/>
      <c r="L82" s="46"/>
      <c r="M82" s="46" t="s">
        <v>369</v>
      </c>
      <c r="N82" s="46" t="s">
        <v>348</v>
      </c>
      <c r="O82" s="46" t="s">
        <v>361</v>
      </c>
      <c r="P82" s="46"/>
      <c r="Q82" s="46"/>
      <c r="R82" s="49" t="n">
        <f aca="false">CMO_Tab5!K21</f>
        <v>90</v>
      </c>
      <c r="S82" s="46" t="s">
        <v>1226</v>
      </c>
      <c r="T82" s="46" t="s">
        <v>33</v>
      </c>
      <c r="U82" s="46" t="s">
        <v>1160</v>
      </c>
      <c r="V82" s="46" t="s">
        <v>1156</v>
      </c>
      <c r="W82" s="46" t="s">
        <v>1161</v>
      </c>
      <c r="X82" s="46" t="s">
        <v>1157</v>
      </c>
      <c r="Y82" s="46" t="s">
        <v>1227</v>
      </c>
    </row>
    <row r="83" customFormat="false" ht="15" hidden="false" customHeight="false" outlineLevel="0" collapsed="false">
      <c r="A83" s="46" t="s">
        <v>999</v>
      </c>
      <c r="B83" s="46" t="s">
        <v>1056</v>
      </c>
      <c r="C83" s="46" t="s">
        <v>950</v>
      </c>
      <c r="D83" s="46" t="s">
        <v>358</v>
      </c>
      <c r="E83" s="46" t="s">
        <v>1168</v>
      </c>
      <c r="F83" s="46" t="s">
        <v>1110</v>
      </c>
      <c r="G83" s="46" t="s">
        <v>289</v>
      </c>
      <c r="H83" s="46" t="s">
        <v>1066</v>
      </c>
      <c r="I83" s="46" t="s">
        <v>1066</v>
      </c>
      <c r="J83" s="46" t="s">
        <v>1190</v>
      </c>
      <c r="K83" s="46"/>
      <c r="L83" s="46"/>
      <c r="M83" s="46" t="s">
        <v>369</v>
      </c>
      <c r="N83" s="46" t="s">
        <v>348</v>
      </c>
      <c r="O83" s="46" t="s">
        <v>361</v>
      </c>
      <c r="P83" s="46"/>
      <c r="Q83" s="46"/>
      <c r="R83" s="49" t="n">
        <f aca="false">CMO_Tab5!L21</f>
        <v>20</v>
      </c>
      <c r="S83" s="46" t="s">
        <v>1228</v>
      </c>
      <c r="T83" s="46" t="s">
        <v>33</v>
      </c>
      <c r="U83" s="46" t="s">
        <v>1160</v>
      </c>
      <c r="V83" s="46" t="s">
        <v>1156</v>
      </c>
      <c r="W83" s="46" t="s">
        <v>1161</v>
      </c>
      <c r="X83" s="46" t="s">
        <v>1157</v>
      </c>
      <c r="Y83" s="46" t="s">
        <v>1229</v>
      </c>
    </row>
    <row r="84" customFormat="false" ht="15" hidden="false" customHeight="false" outlineLevel="0" collapsed="false">
      <c r="A84" s="46" t="s">
        <v>1000</v>
      </c>
      <c r="B84" s="46" t="s">
        <v>1056</v>
      </c>
      <c r="C84" s="46" t="s">
        <v>950</v>
      </c>
      <c r="D84" s="46" t="s">
        <v>951</v>
      </c>
      <c r="E84" s="46" t="s">
        <v>1057</v>
      </c>
      <c r="F84" s="46" t="s">
        <v>1058</v>
      </c>
      <c r="G84" s="46" t="s">
        <v>288</v>
      </c>
      <c r="H84" s="46" t="s">
        <v>1066</v>
      </c>
      <c r="I84" s="46" t="s">
        <v>1066</v>
      </c>
      <c r="J84" s="46" t="s">
        <v>1180</v>
      </c>
      <c r="K84" s="46"/>
      <c r="L84" s="46"/>
      <c r="M84" s="46" t="s">
        <v>370</v>
      </c>
      <c r="N84" s="46" t="s">
        <v>348</v>
      </c>
      <c r="O84" s="46" t="s">
        <v>363</v>
      </c>
      <c r="P84" s="46"/>
      <c r="Q84" s="46"/>
      <c r="R84" s="47" t="n">
        <f aca="false">CMO_Tab5!H22</f>
        <v>1</v>
      </c>
      <c r="S84" s="46" t="s">
        <v>1216</v>
      </c>
      <c r="T84" s="46" t="s">
        <v>33</v>
      </c>
      <c r="U84" s="46" t="s">
        <v>607</v>
      </c>
      <c r="V84" s="46" t="s">
        <v>1156</v>
      </c>
      <c r="W84" s="46"/>
      <c r="X84" s="46" t="s">
        <v>1157</v>
      </c>
      <c r="Y84" s="46" t="s">
        <v>1230</v>
      </c>
    </row>
    <row r="85" customFormat="false" ht="15" hidden="false" customHeight="false" outlineLevel="0" collapsed="false">
      <c r="A85" s="46" t="s">
        <v>1002</v>
      </c>
      <c r="B85" s="46" t="s">
        <v>1056</v>
      </c>
      <c r="C85" s="46" t="s">
        <v>950</v>
      </c>
      <c r="D85" s="46" t="s">
        <v>356</v>
      </c>
      <c r="E85" s="46" t="s">
        <v>1101</v>
      </c>
      <c r="F85" s="46" t="s">
        <v>1102</v>
      </c>
      <c r="G85" s="46" t="s">
        <v>288</v>
      </c>
      <c r="H85" s="46" t="s">
        <v>1066</v>
      </c>
      <c r="I85" s="46" t="s">
        <v>1066</v>
      </c>
      <c r="J85" s="46" t="s">
        <v>1180</v>
      </c>
      <c r="K85" s="46"/>
      <c r="L85" s="46"/>
      <c r="M85" s="46" t="s">
        <v>370</v>
      </c>
      <c r="N85" s="46" t="s">
        <v>348</v>
      </c>
      <c r="O85" s="46" t="s">
        <v>363</v>
      </c>
      <c r="P85" s="46"/>
      <c r="Q85" s="46"/>
      <c r="R85" s="49" t="n">
        <f aca="false">CMO_Tab5!I22</f>
        <v>0</v>
      </c>
      <c r="S85" s="46" t="s">
        <v>1159</v>
      </c>
      <c r="T85" s="46" t="s">
        <v>33</v>
      </c>
      <c r="U85" s="46" t="s">
        <v>1160</v>
      </c>
      <c r="V85" s="46" t="s">
        <v>1156</v>
      </c>
      <c r="W85" s="46" t="s">
        <v>1161</v>
      </c>
      <c r="X85" s="46" t="s">
        <v>1157</v>
      </c>
      <c r="Y85" s="46" t="s">
        <v>1231</v>
      </c>
    </row>
    <row r="86" customFormat="false" ht="15" hidden="false" customHeight="false" outlineLevel="0" collapsed="false">
      <c r="A86" s="46" t="s">
        <v>1003</v>
      </c>
      <c r="B86" s="46" t="s">
        <v>1056</v>
      </c>
      <c r="C86" s="46" t="s">
        <v>950</v>
      </c>
      <c r="D86" s="46" t="s">
        <v>240</v>
      </c>
      <c r="E86" s="46" t="s">
        <v>1163</v>
      </c>
      <c r="F86" s="46" t="s">
        <v>1102</v>
      </c>
      <c r="G86" s="46" t="s">
        <v>288</v>
      </c>
      <c r="H86" s="46" t="s">
        <v>1066</v>
      </c>
      <c r="I86" s="46" t="s">
        <v>1066</v>
      </c>
      <c r="J86" s="46" t="s">
        <v>1180</v>
      </c>
      <c r="K86" s="46"/>
      <c r="L86" s="46"/>
      <c r="M86" s="46" t="s">
        <v>370</v>
      </c>
      <c r="N86" s="46" t="s">
        <v>348</v>
      </c>
      <c r="O86" s="46" t="s">
        <v>363</v>
      </c>
      <c r="P86" s="46"/>
      <c r="Q86" s="46"/>
      <c r="R86" s="49" t="n">
        <f aca="false">CMO_Tab5!J22</f>
        <v>0</v>
      </c>
      <c r="S86" s="46" t="s">
        <v>1159</v>
      </c>
      <c r="T86" s="46" t="s">
        <v>33</v>
      </c>
      <c r="U86" s="46" t="s">
        <v>1160</v>
      </c>
      <c r="V86" s="46" t="s">
        <v>1156</v>
      </c>
      <c r="W86" s="46" t="s">
        <v>1161</v>
      </c>
      <c r="X86" s="46" t="s">
        <v>1157</v>
      </c>
      <c r="Y86" s="46" t="s">
        <v>1232</v>
      </c>
    </row>
    <row r="87" customFormat="false" ht="15" hidden="false" customHeight="false" outlineLevel="0" collapsed="false">
      <c r="A87" s="46" t="s">
        <v>1004</v>
      </c>
      <c r="B87" s="46" t="s">
        <v>1056</v>
      </c>
      <c r="C87" s="46" t="s">
        <v>950</v>
      </c>
      <c r="D87" s="46" t="s">
        <v>357</v>
      </c>
      <c r="E87" s="46" t="s">
        <v>1106</v>
      </c>
      <c r="F87" s="46" t="s">
        <v>1107</v>
      </c>
      <c r="G87" s="46" t="s">
        <v>288</v>
      </c>
      <c r="H87" s="46" t="s">
        <v>1066</v>
      </c>
      <c r="I87" s="46" t="s">
        <v>1066</v>
      </c>
      <c r="J87" s="46" t="s">
        <v>1180</v>
      </c>
      <c r="K87" s="46"/>
      <c r="L87" s="46"/>
      <c r="M87" s="46" t="s">
        <v>370</v>
      </c>
      <c r="N87" s="46" t="s">
        <v>348</v>
      </c>
      <c r="O87" s="46" t="s">
        <v>363</v>
      </c>
      <c r="P87" s="46"/>
      <c r="Q87" s="46"/>
      <c r="R87" s="49" t="n">
        <f aca="false">CMO_Tab5!K22</f>
        <v>100</v>
      </c>
      <c r="S87" s="46" t="s">
        <v>1166</v>
      </c>
      <c r="T87" s="46" t="s">
        <v>33</v>
      </c>
      <c r="U87" s="46" t="s">
        <v>1160</v>
      </c>
      <c r="V87" s="46" t="s">
        <v>1156</v>
      </c>
      <c r="W87" s="46" t="s">
        <v>1161</v>
      </c>
      <c r="X87" s="46" t="s">
        <v>1157</v>
      </c>
      <c r="Y87" s="46" t="s">
        <v>1233</v>
      </c>
    </row>
    <row r="88" customFormat="false" ht="15" hidden="false" customHeight="false" outlineLevel="0" collapsed="false">
      <c r="A88" s="46" t="s">
        <v>1005</v>
      </c>
      <c r="B88" s="46" t="s">
        <v>1056</v>
      </c>
      <c r="C88" s="46" t="s">
        <v>950</v>
      </c>
      <c r="D88" s="46" t="s">
        <v>358</v>
      </c>
      <c r="E88" s="46" t="s">
        <v>1168</v>
      </c>
      <c r="F88" s="46" t="s">
        <v>1110</v>
      </c>
      <c r="G88" s="46" t="s">
        <v>288</v>
      </c>
      <c r="H88" s="46" t="s">
        <v>1066</v>
      </c>
      <c r="I88" s="46" t="s">
        <v>1066</v>
      </c>
      <c r="J88" s="46" t="s">
        <v>1180</v>
      </c>
      <c r="K88" s="46"/>
      <c r="L88" s="46"/>
      <c r="M88" s="46" t="s">
        <v>370</v>
      </c>
      <c r="N88" s="46" t="s">
        <v>348</v>
      </c>
      <c r="O88" s="46" t="s">
        <v>363</v>
      </c>
      <c r="P88" s="46"/>
      <c r="Q88" s="46"/>
      <c r="R88" s="49" t="n">
        <f aca="false">CMO_Tab5!L22</f>
        <v>0</v>
      </c>
      <c r="S88" s="46" t="s">
        <v>1159</v>
      </c>
      <c r="T88" s="46" t="s">
        <v>33</v>
      </c>
      <c r="U88" s="46" t="s">
        <v>1160</v>
      </c>
      <c r="V88" s="46" t="s">
        <v>1156</v>
      </c>
      <c r="W88" s="46" t="s">
        <v>1161</v>
      </c>
      <c r="X88" s="46" t="s">
        <v>1157</v>
      </c>
      <c r="Y88" s="46" t="s">
        <v>1234</v>
      </c>
    </row>
    <row r="89" customFormat="false" ht="15" hidden="false" customHeight="false" outlineLevel="0" collapsed="false">
      <c r="A89" s="46" t="s">
        <v>1006</v>
      </c>
      <c r="B89" s="46" t="s">
        <v>1056</v>
      </c>
      <c r="C89" s="46" t="s">
        <v>950</v>
      </c>
      <c r="D89" s="46" t="s">
        <v>951</v>
      </c>
      <c r="E89" s="46" t="s">
        <v>1057</v>
      </c>
      <c r="F89" s="46" t="s">
        <v>1058</v>
      </c>
      <c r="G89" s="46" t="s">
        <v>289</v>
      </c>
      <c r="H89" s="46" t="s">
        <v>1073</v>
      </c>
      <c r="I89" s="46" t="s">
        <v>1073</v>
      </c>
      <c r="J89" s="46" t="s">
        <v>1180</v>
      </c>
      <c r="K89" s="46"/>
      <c r="L89" s="46"/>
      <c r="M89" s="46" t="s">
        <v>371</v>
      </c>
      <c r="N89" s="46" t="s">
        <v>349</v>
      </c>
      <c r="O89" s="46" t="s">
        <v>359</v>
      </c>
      <c r="P89" s="46"/>
      <c r="Q89" s="46"/>
      <c r="R89" s="47" t="n">
        <f aca="false">CMO_Tab5!H23</f>
        <v>0.54</v>
      </c>
      <c r="S89" s="46" t="s">
        <v>1140</v>
      </c>
      <c r="T89" s="46" t="s">
        <v>33</v>
      </c>
      <c r="U89" s="46" t="s">
        <v>1061</v>
      </c>
      <c r="V89" s="46" t="s">
        <v>1156</v>
      </c>
      <c r="W89" s="46"/>
      <c r="X89" s="46" t="s">
        <v>1157</v>
      </c>
      <c r="Y89" s="46" t="s">
        <v>1235</v>
      </c>
    </row>
    <row r="90" customFormat="false" ht="15" hidden="false" customHeight="false" outlineLevel="0" collapsed="false">
      <c r="A90" s="46" t="s">
        <v>1008</v>
      </c>
      <c r="B90" s="46" t="s">
        <v>1056</v>
      </c>
      <c r="C90" s="46" t="s">
        <v>950</v>
      </c>
      <c r="D90" s="46" t="s">
        <v>356</v>
      </c>
      <c r="E90" s="46" t="s">
        <v>1101</v>
      </c>
      <c r="F90" s="46" t="s">
        <v>1102</v>
      </c>
      <c r="G90" s="46" t="s">
        <v>289</v>
      </c>
      <c r="H90" s="46" t="s">
        <v>1073</v>
      </c>
      <c r="I90" s="46" t="s">
        <v>1073</v>
      </c>
      <c r="J90" s="46" t="s">
        <v>1180</v>
      </c>
      <c r="K90" s="46"/>
      <c r="L90" s="46"/>
      <c r="M90" s="46" t="s">
        <v>371</v>
      </c>
      <c r="N90" s="46" t="s">
        <v>349</v>
      </c>
      <c r="O90" s="46" t="s">
        <v>359</v>
      </c>
      <c r="P90" s="46"/>
      <c r="Q90" s="46"/>
      <c r="R90" s="49" t="n">
        <f aca="false">CMO_Tab5!I23</f>
        <v>158</v>
      </c>
      <c r="S90" s="46" t="s">
        <v>1236</v>
      </c>
      <c r="T90" s="46" t="s">
        <v>33</v>
      </c>
      <c r="U90" s="46" t="s">
        <v>1160</v>
      </c>
      <c r="V90" s="46" t="s">
        <v>1156</v>
      </c>
      <c r="W90" s="46" t="s">
        <v>1161</v>
      </c>
      <c r="X90" s="46" t="s">
        <v>1157</v>
      </c>
      <c r="Y90" s="46" t="s">
        <v>1237</v>
      </c>
    </row>
    <row r="91" customFormat="false" ht="15" hidden="false" customHeight="false" outlineLevel="0" collapsed="false">
      <c r="A91" s="46" t="s">
        <v>1009</v>
      </c>
      <c r="B91" s="46" t="s">
        <v>1056</v>
      </c>
      <c r="C91" s="46" t="s">
        <v>950</v>
      </c>
      <c r="D91" s="46" t="s">
        <v>240</v>
      </c>
      <c r="E91" s="46" t="s">
        <v>1163</v>
      </c>
      <c r="F91" s="46" t="s">
        <v>1102</v>
      </c>
      <c r="G91" s="46" t="s">
        <v>289</v>
      </c>
      <c r="H91" s="46" t="s">
        <v>1073</v>
      </c>
      <c r="I91" s="46" t="s">
        <v>1073</v>
      </c>
      <c r="J91" s="46" t="s">
        <v>1180</v>
      </c>
      <c r="K91" s="46"/>
      <c r="L91" s="46"/>
      <c r="M91" s="46" t="s">
        <v>371</v>
      </c>
      <c r="N91" s="46" t="s">
        <v>349</v>
      </c>
      <c r="O91" s="46" t="s">
        <v>359</v>
      </c>
      <c r="P91" s="46"/>
      <c r="Q91" s="46"/>
      <c r="R91" s="49" t="n">
        <f aca="false">CMO_Tab5!J23</f>
        <v>127</v>
      </c>
      <c r="S91" s="46" t="s">
        <v>1238</v>
      </c>
      <c r="T91" s="46" t="s">
        <v>33</v>
      </c>
      <c r="U91" s="46" t="s">
        <v>1160</v>
      </c>
      <c r="V91" s="46" t="s">
        <v>1156</v>
      </c>
      <c r="W91" s="46" t="s">
        <v>1161</v>
      </c>
      <c r="X91" s="46" t="s">
        <v>1157</v>
      </c>
      <c r="Y91" s="46" t="s">
        <v>1239</v>
      </c>
    </row>
    <row r="92" customFormat="false" ht="15" hidden="false" customHeight="false" outlineLevel="0" collapsed="false">
      <c r="A92" s="46" t="s">
        <v>1010</v>
      </c>
      <c r="B92" s="46" t="s">
        <v>1056</v>
      </c>
      <c r="C92" s="46" t="s">
        <v>950</v>
      </c>
      <c r="D92" s="46" t="s">
        <v>357</v>
      </c>
      <c r="E92" s="46" t="s">
        <v>1106</v>
      </c>
      <c r="F92" s="46" t="s">
        <v>1107</v>
      </c>
      <c r="G92" s="46" t="s">
        <v>289</v>
      </c>
      <c r="H92" s="46" t="s">
        <v>1073</v>
      </c>
      <c r="I92" s="46" t="s">
        <v>1073</v>
      </c>
      <c r="J92" s="46" t="s">
        <v>1180</v>
      </c>
      <c r="K92" s="46"/>
      <c r="L92" s="46"/>
      <c r="M92" s="46" t="s">
        <v>371</v>
      </c>
      <c r="N92" s="46" t="s">
        <v>349</v>
      </c>
      <c r="O92" s="46" t="s">
        <v>359</v>
      </c>
      <c r="P92" s="46"/>
      <c r="Q92" s="46"/>
      <c r="R92" s="49" t="n">
        <f aca="false">CMO_Tab5!K23</f>
        <v>15</v>
      </c>
      <c r="S92" s="46" t="s">
        <v>1240</v>
      </c>
      <c r="T92" s="46" t="s">
        <v>33</v>
      </c>
      <c r="U92" s="46" t="s">
        <v>1160</v>
      </c>
      <c r="V92" s="46" t="s">
        <v>1156</v>
      </c>
      <c r="W92" s="46" t="s">
        <v>1161</v>
      </c>
      <c r="X92" s="46" t="s">
        <v>1157</v>
      </c>
      <c r="Y92" s="46" t="s">
        <v>1241</v>
      </c>
    </row>
    <row r="93" customFormat="false" ht="15" hidden="false" customHeight="false" outlineLevel="0" collapsed="false">
      <c r="A93" s="46" t="s">
        <v>1011</v>
      </c>
      <c r="B93" s="46" t="s">
        <v>1056</v>
      </c>
      <c r="C93" s="46" t="s">
        <v>950</v>
      </c>
      <c r="D93" s="46" t="s">
        <v>358</v>
      </c>
      <c r="E93" s="46" t="s">
        <v>1168</v>
      </c>
      <c r="F93" s="46" t="s">
        <v>1110</v>
      </c>
      <c r="G93" s="46" t="s">
        <v>289</v>
      </c>
      <c r="H93" s="46" t="s">
        <v>1073</v>
      </c>
      <c r="I93" s="46" t="s">
        <v>1073</v>
      </c>
      <c r="J93" s="46" t="s">
        <v>1180</v>
      </c>
      <c r="K93" s="46"/>
      <c r="L93" s="46"/>
      <c r="M93" s="46" t="s">
        <v>371</v>
      </c>
      <c r="N93" s="46" t="s">
        <v>349</v>
      </c>
      <c r="O93" s="46" t="s">
        <v>359</v>
      </c>
      <c r="P93" s="46"/>
      <c r="Q93" s="46"/>
      <c r="R93" s="49" t="n">
        <f aca="false">CMO_Tab5!L23</f>
        <v>83</v>
      </c>
      <c r="S93" s="46" t="s">
        <v>1242</v>
      </c>
      <c r="T93" s="46" t="s">
        <v>33</v>
      </c>
      <c r="U93" s="46" t="s">
        <v>1160</v>
      </c>
      <c r="V93" s="46" t="s">
        <v>1156</v>
      </c>
      <c r="W93" s="46" t="s">
        <v>1161</v>
      </c>
      <c r="X93" s="46" t="s">
        <v>1157</v>
      </c>
      <c r="Y93" s="46" t="s">
        <v>1243</v>
      </c>
    </row>
    <row r="94" customFormat="false" ht="15" hidden="false" customHeight="false" outlineLevel="0" collapsed="false">
      <c r="A94" s="46" t="s">
        <v>1012</v>
      </c>
      <c r="B94" s="46" t="s">
        <v>1056</v>
      </c>
      <c r="C94" s="46" t="s">
        <v>950</v>
      </c>
      <c r="D94" s="46" t="s">
        <v>951</v>
      </c>
      <c r="E94" s="46" t="s">
        <v>1057</v>
      </c>
      <c r="F94" s="46" t="s">
        <v>1058</v>
      </c>
      <c r="G94" s="46" t="s">
        <v>290</v>
      </c>
      <c r="H94" s="46" t="s">
        <v>1073</v>
      </c>
      <c r="I94" s="46" t="s">
        <v>1070</v>
      </c>
      <c r="J94" s="46" t="s">
        <v>1180</v>
      </c>
      <c r="K94" s="46"/>
      <c r="L94" s="46"/>
      <c r="M94" s="46" t="s">
        <v>372</v>
      </c>
      <c r="N94" s="46" t="s">
        <v>349</v>
      </c>
      <c r="O94" s="46" t="s">
        <v>361</v>
      </c>
      <c r="P94" s="46"/>
      <c r="Q94" s="46"/>
      <c r="R94" s="47" t="n">
        <f aca="false">CMO_Tab5!H24</f>
        <v>0.61</v>
      </c>
      <c r="S94" s="46" t="s">
        <v>1071</v>
      </c>
      <c r="T94" s="46" t="s">
        <v>33</v>
      </c>
      <c r="U94" s="46" t="s">
        <v>1061</v>
      </c>
      <c r="V94" s="46" t="s">
        <v>1156</v>
      </c>
      <c r="W94" s="46"/>
      <c r="X94" s="46" t="s">
        <v>1157</v>
      </c>
      <c r="Y94" s="46" t="s">
        <v>1244</v>
      </c>
    </row>
    <row r="95" customFormat="false" ht="15" hidden="false" customHeight="false" outlineLevel="0" collapsed="false">
      <c r="A95" s="46" t="s">
        <v>1014</v>
      </c>
      <c r="B95" s="46" t="s">
        <v>1056</v>
      </c>
      <c r="C95" s="46" t="s">
        <v>950</v>
      </c>
      <c r="D95" s="46" t="s">
        <v>356</v>
      </c>
      <c r="E95" s="46" t="s">
        <v>1101</v>
      </c>
      <c r="F95" s="46" t="s">
        <v>1102</v>
      </c>
      <c r="G95" s="46" t="s">
        <v>290</v>
      </c>
      <c r="H95" s="46" t="s">
        <v>1073</v>
      </c>
      <c r="I95" s="46" t="s">
        <v>1070</v>
      </c>
      <c r="J95" s="46" t="s">
        <v>1180</v>
      </c>
      <c r="K95" s="46"/>
      <c r="L95" s="46"/>
      <c r="M95" s="46" t="s">
        <v>372</v>
      </c>
      <c r="N95" s="46" t="s">
        <v>349</v>
      </c>
      <c r="O95" s="46" t="s">
        <v>361</v>
      </c>
      <c r="P95" s="46"/>
      <c r="Q95" s="46"/>
      <c r="R95" s="49" t="n">
        <f aca="false">CMO_Tab5!I24</f>
        <v>101</v>
      </c>
      <c r="S95" s="46" t="s">
        <v>1245</v>
      </c>
      <c r="T95" s="46" t="s">
        <v>33</v>
      </c>
      <c r="U95" s="46" t="s">
        <v>1160</v>
      </c>
      <c r="V95" s="46" t="s">
        <v>1156</v>
      </c>
      <c r="W95" s="46" t="s">
        <v>1161</v>
      </c>
      <c r="X95" s="46" t="s">
        <v>1157</v>
      </c>
      <c r="Y95" s="46" t="s">
        <v>1246</v>
      </c>
    </row>
    <row r="96" customFormat="false" ht="15" hidden="false" customHeight="false" outlineLevel="0" collapsed="false">
      <c r="A96" s="46" t="s">
        <v>1015</v>
      </c>
      <c r="B96" s="46" t="s">
        <v>1056</v>
      </c>
      <c r="C96" s="46" t="s">
        <v>950</v>
      </c>
      <c r="D96" s="46" t="s">
        <v>240</v>
      </c>
      <c r="E96" s="46" t="s">
        <v>1163</v>
      </c>
      <c r="F96" s="46" t="s">
        <v>1102</v>
      </c>
      <c r="G96" s="46" t="s">
        <v>290</v>
      </c>
      <c r="H96" s="46" t="s">
        <v>1073</v>
      </c>
      <c r="I96" s="46" t="s">
        <v>1070</v>
      </c>
      <c r="J96" s="46" t="s">
        <v>1180</v>
      </c>
      <c r="K96" s="46"/>
      <c r="L96" s="46"/>
      <c r="M96" s="46" t="s">
        <v>372</v>
      </c>
      <c r="N96" s="46" t="s">
        <v>349</v>
      </c>
      <c r="O96" s="46" t="s">
        <v>361</v>
      </c>
      <c r="P96" s="46"/>
      <c r="Q96" s="46"/>
      <c r="R96" s="49" t="n">
        <f aca="false">CMO_Tab5!J24</f>
        <v>148</v>
      </c>
      <c r="S96" s="46" t="s">
        <v>1247</v>
      </c>
      <c r="T96" s="46" t="s">
        <v>33</v>
      </c>
      <c r="U96" s="46" t="s">
        <v>1160</v>
      </c>
      <c r="V96" s="46" t="s">
        <v>1156</v>
      </c>
      <c r="W96" s="46" t="s">
        <v>1161</v>
      </c>
      <c r="X96" s="46" t="s">
        <v>1157</v>
      </c>
      <c r="Y96" s="46" t="s">
        <v>1248</v>
      </c>
    </row>
    <row r="97" customFormat="false" ht="15" hidden="false" customHeight="false" outlineLevel="0" collapsed="false">
      <c r="A97" s="46" t="s">
        <v>1016</v>
      </c>
      <c r="B97" s="46" t="s">
        <v>1056</v>
      </c>
      <c r="C97" s="46" t="s">
        <v>950</v>
      </c>
      <c r="D97" s="46" t="s">
        <v>357</v>
      </c>
      <c r="E97" s="46" t="s">
        <v>1106</v>
      </c>
      <c r="F97" s="46" t="s">
        <v>1107</v>
      </c>
      <c r="G97" s="46" t="s">
        <v>290</v>
      </c>
      <c r="H97" s="46" t="s">
        <v>1073</v>
      </c>
      <c r="I97" s="46" t="s">
        <v>1070</v>
      </c>
      <c r="J97" s="46" t="s">
        <v>1180</v>
      </c>
      <c r="K97" s="46"/>
      <c r="L97" s="46"/>
      <c r="M97" s="46" t="s">
        <v>372</v>
      </c>
      <c r="N97" s="46" t="s">
        <v>349</v>
      </c>
      <c r="O97" s="46" t="s">
        <v>361</v>
      </c>
      <c r="P97" s="46"/>
      <c r="Q97" s="46"/>
      <c r="R97" s="49" t="n">
        <f aca="false">CMO_Tab5!K24</f>
        <v>73</v>
      </c>
      <c r="S97" s="46" t="s">
        <v>1249</v>
      </c>
      <c r="T97" s="46" t="s">
        <v>33</v>
      </c>
      <c r="U97" s="46" t="s">
        <v>1160</v>
      </c>
      <c r="V97" s="46" t="s">
        <v>1156</v>
      </c>
      <c r="W97" s="46" t="s">
        <v>1161</v>
      </c>
      <c r="X97" s="46" t="s">
        <v>1157</v>
      </c>
      <c r="Y97" s="46" t="s">
        <v>1250</v>
      </c>
    </row>
    <row r="98" customFormat="false" ht="15" hidden="false" customHeight="false" outlineLevel="0" collapsed="false">
      <c r="A98" s="46" t="s">
        <v>1017</v>
      </c>
      <c r="B98" s="46" t="s">
        <v>1056</v>
      </c>
      <c r="C98" s="46" t="s">
        <v>950</v>
      </c>
      <c r="D98" s="46" t="s">
        <v>358</v>
      </c>
      <c r="E98" s="46" t="s">
        <v>1168</v>
      </c>
      <c r="F98" s="46" t="s">
        <v>1110</v>
      </c>
      <c r="G98" s="46" t="s">
        <v>290</v>
      </c>
      <c r="H98" s="46" t="s">
        <v>1073</v>
      </c>
      <c r="I98" s="46" t="s">
        <v>1070</v>
      </c>
      <c r="J98" s="46" t="s">
        <v>1180</v>
      </c>
      <c r="K98" s="46"/>
      <c r="L98" s="46"/>
      <c r="M98" s="46" t="s">
        <v>372</v>
      </c>
      <c r="N98" s="46" t="s">
        <v>349</v>
      </c>
      <c r="O98" s="46" t="s">
        <v>361</v>
      </c>
      <c r="P98" s="46"/>
      <c r="Q98" s="46"/>
      <c r="R98" s="49" t="n">
        <f aca="false">CMO_Tab5!L24</f>
        <v>52</v>
      </c>
      <c r="S98" s="46" t="s">
        <v>1251</v>
      </c>
      <c r="T98" s="46" t="s">
        <v>33</v>
      </c>
      <c r="U98" s="46" t="s">
        <v>1160</v>
      </c>
      <c r="V98" s="46" t="s">
        <v>1156</v>
      </c>
      <c r="W98" s="46" t="s">
        <v>1161</v>
      </c>
      <c r="X98" s="46" t="s">
        <v>1157</v>
      </c>
      <c r="Y98" s="46" t="s">
        <v>1252</v>
      </c>
    </row>
    <row r="99" customFormat="false" ht="15" hidden="false" customHeight="false" outlineLevel="0" collapsed="false">
      <c r="A99" s="46" t="s">
        <v>1018</v>
      </c>
      <c r="B99" s="46" t="s">
        <v>1056</v>
      </c>
      <c r="C99" s="46" t="s">
        <v>950</v>
      </c>
      <c r="D99" s="46" t="s">
        <v>951</v>
      </c>
      <c r="E99" s="46" t="s">
        <v>1057</v>
      </c>
      <c r="F99" s="46" t="s">
        <v>1058</v>
      </c>
      <c r="G99" s="46" t="s">
        <v>289</v>
      </c>
      <c r="H99" s="46" t="s">
        <v>1073</v>
      </c>
      <c r="I99" s="46" t="s">
        <v>1070</v>
      </c>
      <c r="J99" s="46" t="s">
        <v>1180</v>
      </c>
      <c r="K99" s="46"/>
      <c r="L99" s="46"/>
      <c r="M99" s="46" t="s">
        <v>373</v>
      </c>
      <c r="N99" s="46" t="s">
        <v>349</v>
      </c>
      <c r="O99" s="46" t="s">
        <v>363</v>
      </c>
      <c r="P99" s="46"/>
      <c r="Q99" s="46"/>
      <c r="R99" s="47" t="n">
        <f aca="false">CMO_Tab5!H25</f>
        <v>0.62</v>
      </c>
      <c r="S99" s="46" t="s">
        <v>1253</v>
      </c>
      <c r="T99" s="46" t="s">
        <v>33</v>
      </c>
      <c r="U99" s="46" t="s">
        <v>1061</v>
      </c>
      <c r="V99" s="46" t="s">
        <v>1156</v>
      </c>
      <c r="W99" s="46"/>
      <c r="X99" s="46" t="s">
        <v>1157</v>
      </c>
      <c r="Y99" s="46" t="s">
        <v>1254</v>
      </c>
    </row>
    <row r="100" customFormat="false" ht="15" hidden="false" customHeight="false" outlineLevel="0" collapsed="false">
      <c r="A100" s="46" t="s">
        <v>1020</v>
      </c>
      <c r="B100" s="46" t="s">
        <v>1056</v>
      </c>
      <c r="C100" s="46" t="s">
        <v>950</v>
      </c>
      <c r="D100" s="46" t="s">
        <v>356</v>
      </c>
      <c r="E100" s="46" t="s">
        <v>1101</v>
      </c>
      <c r="F100" s="46" t="s">
        <v>1102</v>
      </c>
      <c r="G100" s="46" t="s">
        <v>289</v>
      </c>
      <c r="H100" s="46" t="s">
        <v>1073</v>
      </c>
      <c r="I100" s="46" t="s">
        <v>1070</v>
      </c>
      <c r="J100" s="46" t="s">
        <v>1180</v>
      </c>
      <c r="K100" s="46"/>
      <c r="L100" s="46"/>
      <c r="M100" s="46" t="s">
        <v>373</v>
      </c>
      <c r="N100" s="46" t="s">
        <v>349</v>
      </c>
      <c r="O100" s="46" t="s">
        <v>363</v>
      </c>
      <c r="P100" s="46"/>
      <c r="Q100" s="46"/>
      <c r="R100" s="49" t="n">
        <f aca="false">CMO_Tab5!I25</f>
        <v>78</v>
      </c>
      <c r="S100" s="46" t="s">
        <v>1255</v>
      </c>
      <c r="T100" s="46" t="s">
        <v>33</v>
      </c>
      <c r="U100" s="46" t="s">
        <v>1160</v>
      </c>
      <c r="V100" s="46" t="s">
        <v>1156</v>
      </c>
      <c r="W100" s="46" t="s">
        <v>1161</v>
      </c>
      <c r="X100" s="46" t="s">
        <v>1157</v>
      </c>
      <c r="Y100" s="46" t="s">
        <v>1256</v>
      </c>
    </row>
    <row r="101" customFormat="false" ht="15" hidden="false" customHeight="false" outlineLevel="0" collapsed="false">
      <c r="A101" s="46" t="s">
        <v>1021</v>
      </c>
      <c r="B101" s="46" t="s">
        <v>1056</v>
      </c>
      <c r="C101" s="46" t="s">
        <v>950</v>
      </c>
      <c r="D101" s="46" t="s">
        <v>240</v>
      </c>
      <c r="E101" s="46" t="s">
        <v>1163</v>
      </c>
      <c r="F101" s="46" t="s">
        <v>1102</v>
      </c>
      <c r="G101" s="46" t="s">
        <v>289</v>
      </c>
      <c r="H101" s="46" t="s">
        <v>1073</v>
      </c>
      <c r="I101" s="46" t="s">
        <v>1070</v>
      </c>
      <c r="J101" s="46" t="s">
        <v>1180</v>
      </c>
      <c r="K101" s="46"/>
      <c r="L101" s="46"/>
      <c r="M101" s="46" t="s">
        <v>373</v>
      </c>
      <c r="N101" s="46" t="s">
        <v>349</v>
      </c>
      <c r="O101" s="46" t="s">
        <v>363</v>
      </c>
      <c r="P101" s="46"/>
      <c r="Q101" s="46"/>
      <c r="R101" s="49" t="n">
        <f aca="false">CMO_Tab5!J25</f>
        <v>151</v>
      </c>
      <c r="S101" s="46" t="s">
        <v>1257</v>
      </c>
      <c r="T101" s="46" t="s">
        <v>33</v>
      </c>
      <c r="U101" s="46" t="s">
        <v>1160</v>
      </c>
      <c r="V101" s="46" t="s">
        <v>1156</v>
      </c>
      <c r="W101" s="46" t="s">
        <v>1161</v>
      </c>
      <c r="X101" s="46" t="s">
        <v>1157</v>
      </c>
      <c r="Y101" s="46" t="s">
        <v>1258</v>
      </c>
    </row>
    <row r="102" customFormat="false" ht="15" hidden="false" customHeight="false" outlineLevel="0" collapsed="false">
      <c r="A102" s="46" t="s">
        <v>1022</v>
      </c>
      <c r="B102" s="46" t="s">
        <v>1056</v>
      </c>
      <c r="C102" s="46" t="s">
        <v>950</v>
      </c>
      <c r="D102" s="46" t="s">
        <v>357</v>
      </c>
      <c r="E102" s="46" t="s">
        <v>1106</v>
      </c>
      <c r="F102" s="46" t="s">
        <v>1107</v>
      </c>
      <c r="G102" s="46" t="s">
        <v>289</v>
      </c>
      <c r="H102" s="46" t="s">
        <v>1073</v>
      </c>
      <c r="I102" s="46" t="s">
        <v>1070</v>
      </c>
      <c r="J102" s="46" t="s">
        <v>1180</v>
      </c>
      <c r="K102" s="46"/>
      <c r="L102" s="46"/>
      <c r="M102" s="46" t="s">
        <v>373</v>
      </c>
      <c r="N102" s="46" t="s">
        <v>349</v>
      </c>
      <c r="O102" s="46" t="s">
        <v>363</v>
      </c>
      <c r="P102" s="46"/>
      <c r="Q102" s="46"/>
      <c r="R102" s="49" t="n">
        <f aca="false">CMO_Tab5!K25</f>
        <v>76</v>
      </c>
      <c r="S102" s="46" t="s">
        <v>1259</v>
      </c>
      <c r="T102" s="46" t="s">
        <v>33</v>
      </c>
      <c r="U102" s="46" t="s">
        <v>1160</v>
      </c>
      <c r="V102" s="46" t="s">
        <v>1156</v>
      </c>
      <c r="W102" s="46" t="s">
        <v>1161</v>
      </c>
      <c r="X102" s="46" t="s">
        <v>1157</v>
      </c>
      <c r="Y102" s="46" t="s">
        <v>1260</v>
      </c>
    </row>
    <row r="103" customFormat="false" ht="15" hidden="false" customHeight="false" outlineLevel="0" collapsed="false">
      <c r="A103" s="46" t="s">
        <v>1023</v>
      </c>
      <c r="B103" s="46" t="s">
        <v>1056</v>
      </c>
      <c r="C103" s="46" t="s">
        <v>950</v>
      </c>
      <c r="D103" s="46" t="s">
        <v>358</v>
      </c>
      <c r="E103" s="46" t="s">
        <v>1168</v>
      </c>
      <c r="F103" s="46" t="s">
        <v>1110</v>
      </c>
      <c r="G103" s="46" t="s">
        <v>289</v>
      </c>
      <c r="H103" s="46" t="s">
        <v>1073</v>
      </c>
      <c r="I103" s="46" t="s">
        <v>1070</v>
      </c>
      <c r="J103" s="46" t="s">
        <v>1180</v>
      </c>
      <c r="K103" s="46"/>
      <c r="L103" s="46"/>
      <c r="M103" s="46" t="s">
        <v>373</v>
      </c>
      <c r="N103" s="46" t="s">
        <v>349</v>
      </c>
      <c r="O103" s="46" t="s">
        <v>363</v>
      </c>
      <c r="P103" s="46"/>
      <c r="Q103" s="46"/>
      <c r="R103" s="49" t="n">
        <f aca="false">CMO_Tab5!L25</f>
        <v>39</v>
      </c>
      <c r="S103" s="46" t="s">
        <v>1261</v>
      </c>
      <c r="T103" s="46" t="s">
        <v>33</v>
      </c>
      <c r="U103" s="46" t="s">
        <v>1160</v>
      </c>
      <c r="V103" s="46" t="s">
        <v>1156</v>
      </c>
      <c r="W103" s="46" t="s">
        <v>1161</v>
      </c>
      <c r="X103" s="46" t="s">
        <v>1157</v>
      </c>
      <c r="Y103" s="46" t="s">
        <v>1262</v>
      </c>
    </row>
    <row r="104" customFormat="false" ht="15" hidden="false" customHeight="false" outlineLevel="0" collapsed="false">
      <c r="A104" s="46" t="s">
        <v>1024</v>
      </c>
      <c r="B104" s="46" t="s">
        <v>1056</v>
      </c>
      <c r="C104" s="46" t="s">
        <v>1025</v>
      </c>
      <c r="D104" s="46" t="s">
        <v>1026</v>
      </c>
      <c r="E104" s="46" t="s">
        <v>1263</v>
      </c>
      <c r="F104" s="46" t="s">
        <v>1264</v>
      </c>
      <c r="G104" s="46" t="s">
        <v>1059</v>
      </c>
      <c r="H104" s="46" t="s">
        <v>1059</v>
      </c>
      <c r="I104" s="46" t="s">
        <v>1059</v>
      </c>
      <c r="J104" s="46" t="s">
        <v>1059</v>
      </c>
      <c r="K104" s="46"/>
      <c r="L104" s="46"/>
      <c r="M104" s="46"/>
      <c r="N104" s="46"/>
      <c r="O104" s="46"/>
      <c r="P104" s="46"/>
      <c r="Q104" s="46"/>
      <c r="R104" s="48" t="n">
        <f aca="false">CMO_Textwerte!B5</f>
        <v>1</v>
      </c>
      <c r="S104" s="46" t="s">
        <v>1216</v>
      </c>
      <c r="T104" s="46" t="s">
        <v>35</v>
      </c>
      <c r="U104" s="46" t="s">
        <v>607</v>
      </c>
      <c r="V104" s="46" t="s">
        <v>1265</v>
      </c>
      <c r="W104" s="46"/>
      <c r="X104" s="46" t="s">
        <v>50</v>
      </c>
      <c r="Y104" s="46" t="s">
        <v>1065</v>
      </c>
    </row>
    <row r="105" customFormat="false" ht="15" hidden="false" customHeight="false" outlineLevel="0" collapsed="false">
      <c r="A105" s="46" t="s">
        <v>1027</v>
      </c>
      <c r="B105" s="46" t="s">
        <v>1056</v>
      </c>
      <c r="C105" s="46" t="s">
        <v>1025</v>
      </c>
      <c r="D105" s="46" t="s">
        <v>1028</v>
      </c>
      <c r="E105" s="46" t="s">
        <v>1266</v>
      </c>
      <c r="F105" s="46" t="s">
        <v>1267</v>
      </c>
      <c r="G105" s="46" t="s">
        <v>1059</v>
      </c>
      <c r="H105" s="46" t="s">
        <v>1059</v>
      </c>
      <c r="I105" s="46" t="s">
        <v>1059</v>
      </c>
      <c r="J105" s="46" t="s">
        <v>1059</v>
      </c>
      <c r="K105" s="46"/>
      <c r="L105" s="46"/>
      <c r="M105" s="46"/>
      <c r="N105" s="46"/>
      <c r="O105" s="46"/>
      <c r="P105" s="46"/>
      <c r="Q105" s="46"/>
      <c r="R105" s="48" t="n">
        <f aca="false">CMO_Textwerte!B6</f>
        <v>12.3</v>
      </c>
      <c r="S105" s="46" t="s">
        <v>1268</v>
      </c>
      <c r="T105" s="46" t="s">
        <v>35</v>
      </c>
      <c r="U105" s="46" t="s">
        <v>607</v>
      </c>
      <c r="V105" s="46" t="s">
        <v>1265</v>
      </c>
      <c r="W105" s="46"/>
      <c r="X105" s="46" t="s">
        <v>50</v>
      </c>
      <c r="Y105" s="46" t="s">
        <v>1077</v>
      </c>
    </row>
    <row r="106" customFormat="false" ht="15" hidden="false" customHeight="false" outlineLevel="0" collapsed="false">
      <c r="A106" s="46" t="s">
        <v>1269</v>
      </c>
      <c r="B106" s="46" t="s">
        <v>1270</v>
      </c>
      <c r="C106" s="46" t="s">
        <v>1271</v>
      </c>
      <c r="D106" s="46" t="s">
        <v>595</v>
      </c>
      <c r="E106" s="46" t="s">
        <v>1272</v>
      </c>
      <c r="F106" s="46" t="s">
        <v>391</v>
      </c>
      <c r="G106" s="46"/>
      <c r="H106" s="46" t="s">
        <v>1066</v>
      </c>
      <c r="I106" s="46" t="s">
        <v>1066</v>
      </c>
      <c r="J106" s="46"/>
      <c r="K106" s="46"/>
      <c r="L106" s="46"/>
      <c r="M106" s="46"/>
      <c r="N106" s="46"/>
      <c r="O106" s="46"/>
      <c r="P106" s="46" t="s">
        <v>1273</v>
      </c>
      <c r="Q106" s="46" t="s">
        <v>471</v>
      </c>
      <c r="R106" s="48" t="n">
        <f aca="false">FL_Abb12_13_18!C5</f>
        <v>91.1</v>
      </c>
      <c r="S106" s="46" t="s">
        <v>1274</v>
      </c>
      <c r="T106" s="46" t="s">
        <v>37</v>
      </c>
      <c r="U106" s="46" t="s">
        <v>596</v>
      </c>
      <c r="V106" s="46" t="s">
        <v>1275</v>
      </c>
      <c r="W106" s="46" t="s">
        <v>1276</v>
      </c>
      <c r="X106" s="46" t="s">
        <v>1277</v>
      </c>
      <c r="Y106" s="46" t="s">
        <v>1069</v>
      </c>
    </row>
    <row r="107" customFormat="false" ht="15" hidden="false" customHeight="false" outlineLevel="0" collapsed="false">
      <c r="A107" s="46" t="s">
        <v>1278</v>
      </c>
      <c r="B107" s="46" t="s">
        <v>1270</v>
      </c>
      <c r="C107" s="46" t="s">
        <v>1271</v>
      </c>
      <c r="D107" s="46" t="s">
        <v>598</v>
      </c>
      <c r="E107" s="46" t="s">
        <v>1279</v>
      </c>
      <c r="F107" s="46" t="s">
        <v>391</v>
      </c>
      <c r="G107" s="46"/>
      <c r="H107" s="46" t="s">
        <v>1066</v>
      </c>
      <c r="I107" s="46" t="s">
        <v>1066</v>
      </c>
      <c r="J107" s="46"/>
      <c r="K107" s="46"/>
      <c r="L107" s="46"/>
      <c r="M107" s="46"/>
      <c r="N107" s="46"/>
      <c r="O107" s="46"/>
      <c r="P107" s="46" t="s">
        <v>1273</v>
      </c>
      <c r="Q107" s="46" t="s">
        <v>471</v>
      </c>
      <c r="R107" s="48" t="n">
        <f aca="false">FL_Abb12_13_18!C6</f>
        <v>8.9</v>
      </c>
      <c r="S107" s="46" t="s">
        <v>1280</v>
      </c>
      <c r="T107" s="46" t="s">
        <v>37</v>
      </c>
      <c r="U107" s="46" t="s">
        <v>596</v>
      </c>
      <c r="V107" s="46" t="s">
        <v>1275</v>
      </c>
      <c r="W107" s="46" t="s">
        <v>1281</v>
      </c>
      <c r="X107" s="46" t="s">
        <v>1277</v>
      </c>
      <c r="Y107" s="46" t="s">
        <v>1079</v>
      </c>
    </row>
    <row r="108" customFormat="false" ht="15" hidden="false" customHeight="false" outlineLevel="0" collapsed="false">
      <c r="A108" s="46" t="s">
        <v>1282</v>
      </c>
      <c r="B108" s="46" t="s">
        <v>1270</v>
      </c>
      <c r="C108" s="46" t="s">
        <v>1283</v>
      </c>
      <c r="D108" s="46" t="s">
        <v>601</v>
      </c>
      <c r="E108" s="46" t="s">
        <v>1284</v>
      </c>
      <c r="F108" s="46" t="s">
        <v>391</v>
      </c>
      <c r="G108" s="46"/>
      <c r="H108" s="46" t="s">
        <v>1066</v>
      </c>
      <c r="I108" s="46" t="s">
        <v>1066</v>
      </c>
      <c r="J108" s="46"/>
      <c r="K108" s="46"/>
      <c r="L108" s="46"/>
      <c r="M108" s="46"/>
      <c r="N108" s="46"/>
      <c r="O108" s="46"/>
      <c r="P108" s="46" t="s">
        <v>1273</v>
      </c>
      <c r="Q108" s="46" t="s">
        <v>471</v>
      </c>
      <c r="R108" s="48" t="n">
        <f aca="false">FL_Abb12_13_18!C7</f>
        <v>8.7</v>
      </c>
      <c r="S108" s="46" t="s">
        <v>1285</v>
      </c>
      <c r="T108" s="46" t="s">
        <v>37</v>
      </c>
      <c r="U108" s="46" t="s">
        <v>596</v>
      </c>
      <c r="V108" s="46" t="s">
        <v>1275</v>
      </c>
      <c r="W108" s="46" t="s">
        <v>1281</v>
      </c>
      <c r="X108" s="46" t="s">
        <v>1277</v>
      </c>
      <c r="Y108" s="46" t="s">
        <v>1087</v>
      </c>
    </row>
    <row r="109" customFormat="false" ht="15" hidden="false" customHeight="false" outlineLevel="0" collapsed="false">
      <c r="A109" s="46" t="s">
        <v>1286</v>
      </c>
      <c r="B109" s="46" t="s">
        <v>1270</v>
      </c>
      <c r="C109" s="46" t="s">
        <v>1283</v>
      </c>
      <c r="D109" s="46" t="s">
        <v>602</v>
      </c>
      <c r="E109" s="46" t="s">
        <v>1287</v>
      </c>
      <c r="F109" s="46" t="s">
        <v>391</v>
      </c>
      <c r="G109" s="46"/>
      <c r="H109" s="46" t="s">
        <v>1066</v>
      </c>
      <c r="I109" s="46" t="s">
        <v>1066</v>
      </c>
      <c r="J109" s="46"/>
      <c r="K109" s="46"/>
      <c r="L109" s="46"/>
      <c r="M109" s="46"/>
      <c r="N109" s="46"/>
      <c r="O109" s="46"/>
      <c r="P109" s="46" t="s">
        <v>1273</v>
      </c>
      <c r="Q109" s="46" t="s">
        <v>471</v>
      </c>
      <c r="R109" s="48" t="n">
        <f aca="false">FL_Abb12_13_18!C8</f>
        <v>3.6</v>
      </c>
      <c r="S109" s="46" t="s">
        <v>1288</v>
      </c>
      <c r="T109" s="46" t="s">
        <v>37</v>
      </c>
      <c r="U109" s="46" t="s">
        <v>596</v>
      </c>
      <c r="V109" s="46" t="s">
        <v>1275</v>
      </c>
      <c r="W109" s="46" t="s">
        <v>1281</v>
      </c>
      <c r="X109" s="46" t="s">
        <v>1277</v>
      </c>
      <c r="Y109" s="46" t="s">
        <v>1096</v>
      </c>
    </row>
    <row r="110" customFormat="false" ht="15" hidden="false" customHeight="false" outlineLevel="0" collapsed="false">
      <c r="A110" s="46" t="s">
        <v>1289</v>
      </c>
      <c r="B110" s="46" t="s">
        <v>1270</v>
      </c>
      <c r="C110" s="46" t="s">
        <v>1283</v>
      </c>
      <c r="D110" s="46" t="s">
        <v>603</v>
      </c>
      <c r="E110" s="46" t="s">
        <v>1290</v>
      </c>
      <c r="F110" s="46" t="s">
        <v>391</v>
      </c>
      <c r="G110" s="46"/>
      <c r="H110" s="46" t="s">
        <v>1066</v>
      </c>
      <c r="I110" s="46" t="s">
        <v>1066</v>
      </c>
      <c r="J110" s="46"/>
      <c r="K110" s="46"/>
      <c r="L110" s="46"/>
      <c r="M110" s="46"/>
      <c r="N110" s="46"/>
      <c r="O110" s="46"/>
      <c r="P110" s="46" t="s">
        <v>1273</v>
      </c>
      <c r="Q110" s="46" t="s">
        <v>471</v>
      </c>
      <c r="R110" s="48" t="n">
        <f aca="false">FL_Abb12_13_18!C9</f>
        <v>87.7</v>
      </c>
      <c r="S110" s="46" t="s">
        <v>1291</v>
      </c>
      <c r="T110" s="46" t="s">
        <v>37</v>
      </c>
      <c r="U110" s="46" t="s">
        <v>596</v>
      </c>
      <c r="V110" s="46" t="s">
        <v>1275</v>
      </c>
      <c r="W110" s="46" t="s">
        <v>1292</v>
      </c>
      <c r="X110" s="46" t="s">
        <v>1277</v>
      </c>
      <c r="Y110" s="46" t="s">
        <v>1293</v>
      </c>
    </row>
    <row r="111" customFormat="false" ht="15" hidden="false" customHeight="false" outlineLevel="0" collapsed="false">
      <c r="A111" s="46" t="s">
        <v>1294</v>
      </c>
      <c r="B111" s="46" t="s">
        <v>1270</v>
      </c>
      <c r="C111" s="46" t="s">
        <v>1295</v>
      </c>
      <c r="D111" s="46" t="s">
        <v>606</v>
      </c>
      <c r="E111" s="46" t="s">
        <v>1296</v>
      </c>
      <c r="F111" s="46" t="s">
        <v>391</v>
      </c>
      <c r="G111" s="46"/>
      <c r="H111" s="46" t="s">
        <v>1066</v>
      </c>
      <c r="I111" s="46" t="s">
        <v>1066</v>
      </c>
      <c r="J111" s="46"/>
      <c r="K111" s="46"/>
      <c r="L111" s="46"/>
      <c r="M111" s="46"/>
      <c r="N111" s="46"/>
      <c r="O111" s="46"/>
      <c r="P111" s="46" t="s">
        <v>1273</v>
      </c>
      <c r="Q111" s="46" t="s">
        <v>471</v>
      </c>
      <c r="R111" s="48" t="n">
        <f aca="false">FL_Abb12_13_18!C10</f>
        <v>13.4</v>
      </c>
      <c r="S111" s="46" t="s">
        <v>1297</v>
      </c>
      <c r="T111" s="46" t="s">
        <v>35</v>
      </c>
      <c r="U111" s="46" t="s">
        <v>607</v>
      </c>
      <c r="V111" s="46" t="s">
        <v>1275</v>
      </c>
      <c r="W111" s="46" t="s">
        <v>1298</v>
      </c>
      <c r="X111" s="46" t="s">
        <v>1277</v>
      </c>
      <c r="Y111" s="46" t="s">
        <v>1299</v>
      </c>
    </row>
    <row r="112" customFormat="false" ht="15" hidden="false" customHeight="false" outlineLevel="0" collapsed="false">
      <c r="A112" s="46" t="s">
        <v>1300</v>
      </c>
      <c r="B112" s="46" t="s">
        <v>1270</v>
      </c>
      <c r="C112" s="46" t="s">
        <v>1295</v>
      </c>
      <c r="D112" s="46" t="s">
        <v>609</v>
      </c>
      <c r="E112" s="46" t="s">
        <v>1301</v>
      </c>
      <c r="F112" s="46" t="s">
        <v>391</v>
      </c>
      <c r="G112" s="46"/>
      <c r="H112" s="46" t="s">
        <v>1066</v>
      </c>
      <c r="I112" s="46" t="s">
        <v>1066</v>
      </c>
      <c r="J112" s="46"/>
      <c r="K112" s="46"/>
      <c r="L112" s="46"/>
      <c r="M112" s="46"/>
      <c r="N112" s="46"/>
      <c r="O112" s="46"/>
      <c r="P112" s="46" t="s">
        <v>1273</v>
      </c>
      <c r="Q112" s="46" t="s">
        <v>471</v>
      </c>
      <c r="R112" s="48" t="n">
        <f aca="false">FL_Abb12_13_18!C11</f>
        <v>15.5</v>
      </c>
      <c r="S112" s="46" t="s">
        <v>1302</v>
      </c>
      <c r="T112" s="46" t="s">
        <v>35</v>
      </c>
      <c r="U112" s="46" t="s">
        <v>607</v>
      </c>
      <c r="V112" s="46" t="s">
        <v>1275</v>
      </c>
      <c r="W112" s="46" t="s">
        <v>1303</v>
      </c>
      <c r="X112" s="46" t="s">
        <v>1277</v>
      </c>
      <c r="Y112" s="46" t="s">
        <v>1304</v>
      </c>
    </row>
    <row r="113" customFormat="false" ht="15" hidden="false" customHeight="false" outlineLevel="0" collapsed="false">
      <c r="A113" s="46" t="s">
        <v>1305</v>
      </c>
      <c r="B113" s="46" t="s">
        <v>1270</v>
      </c>
      <c r="C113" s="46" t="s">
        <v>1295</v>
      </c>
      <c r="D113" s="46" t="s">
        <v>611</v>
      </c>
      <c r="E113" s="46" t="s">
        <v>1306</v>
      </c>
      <c r="F113" s="46" t="s">
        <v>391</v>
      </c>
      <c r="G113" s="46"/>
      <c r="H113" s="46" t="s">
        <v>1066</v>
      </c>
      <c r="I113" s="46" t="s">
        <v>1066</v>
      </c>
      <c r="J113" s="46"/>
      <c r="K113" s="46"/>
      <c r="L113" s="46"/>
      <c r="M113" s="46"/>
      <c r="N113" s="46"/>
      <c r="O113" s="46"/>
      <c r="P113" s="46" t="s">
        <v>1273</v>
      </c>
      <c r="Q113" s="46" t="s">
        <v>471</v>
      </c>
      <c r="R113" s="48" t="n">
        <f aca="false">FL_Abb12_13_18!C12</f>
        <v>63.2</v>
      </c>
      <c r="S113" s="46" t="s">
        <v>1307</v>
      </c>
      <c r="T113" s="46" t="s">
        <v>35</v>
      </c>
      <c r="U113" s="46" t="s">
        <v>607</v>
      </c>
      <c r="V113" s="46" t="s">
        <v>1275</v>
      </c>
      <c r="W113" s="46" t="s">
        <v>1308</v>
      </c>
      <c r="X113" s="46" t="s">
        <v>1277</v>
      </c>
      <c r="Y113" s="46" t="s">
        <v>1309</v>
      </c>
    </row>
    <row r="114" customFormat="false" ht="15" hidden="false" customHeight="false" outlineLevel="0" collapsed="false">
      <c r="A114" s="46" t="s">
        <v>1310</v>
      </c>
      <c r="B114" s="46" t="s">
        <v>1270</v>
      </c>
      <c r="C114" s="46" t="s">
        <v>1311</v>
      </c>
      <c r="D114" s="46" t="s">
        <v>1312</v>
      </c>
      <c r="E114" s="46" t="s">
        <v>1313</v>
      </c>
      <c r="F114" s="46" t="s">
        <v>1314</v>
      </c>
      <c r="G114" s="46"/>
      <c r="H114" s="46" t="s">
        <v>1066</v>
      </c>
      <c r="I114" s="46" t="s">
        <v>1066</v>
      </c>
      <c r="J114" s="46"/>
      <c r="K114" s="46"/>
      <c r="L114" s="46"/>
      <c r="M114" s="46"/>
      <c r="N114" s="46"/>
      <c r="O114" s="46"/>
      <c r="P114" s="46" t="s">
        <v>1315</v>
      </c>
      <c r="Q114" s="46" t="s">
        <v>471</v>
      </c>
      <c r="R114" s="50" t="n">
        <f aca="false">FL_Abb14!B5</f>
        <v>100</v>
      </c>
      <c r="S114" s="46" t="s">
        <v>1166</v>
      </c>
      <c r="T114" s="46" t="s">
        <v>39</v>
      </c>
      <c r="U114" s="46" t="s">
        <v>39</v>
      </c>
      <c r="V114" s="46" t="s">
        <v>1275</v>
      </c>
      <c r="W114" s="46" t="s">
        <v>1316</v>
      </c>
      <c r="X114" s="46" t="s">
        <v>1317</v>
      </c>
      <c r="Y114" s="46" t="s">
        <v>1065</v>
      </c>
    </row>
    <row r="115" customFormat="false" ht="15" hidden="false" customHeight="false" outlineLevel="0" collapsed="false">
      <c r="A115" s="46" t="s">
        <v>1318</v>
      </c>
      <c r="B115" s="46" t="s">
        <v>1270</v>
      </c>
      <c r="C115" s="46" t="s">
        <v>1311</v>
      </c>
      <c r="D115" s="46" t="s">
        <v>1312</v>
      </c>
      <c r="E115" s="46" t="s">
        <v>1313</v>
      </c>
      <c r="F115" s="46" t="s">
        <v>1314</v>
      </c>
      <c r="G115" s="46"/>
      <c r="H115" s="46" t="s">
        <v>1066</v>
      </c>
      <c r="I115" s="46" t="s">
        <v>1066</v>
      </c>
      <c r="J115" s="46"/>
      <c r="K115" s="46"/>
      <c r="L115" s="46"/>
      <c r="M115" s="46"/>
      <c r="N115" s="46"/>
      <c r="O115" s="46"/>
      <c r="P115" s="46" t="s">
        <v>1216</v>
      </c>
      <c r="Q115" s="46" t="s">
        <v>471</v>
      </c>
      <c r="R115" s="50" t="n">
        <f aca="false">FL_Abb14!C5</f>
        <v>3300</v>
      </c>
      <c r="S115" s="46" t="s">
        <v>1319</v>
      </c>
      <c r="T115" s="46" t="s">
        <v>37</v>
      </c>
      <c r="U115" s="46" t="s">
        <v>1320</v>
      </c>
      <c r="V115" s="46" t="s">
        <v>1275</v>
      </c>
      <c r="W115" s="46" t="s">
        <v>1316</v>
      </c>
      <c r="X115" s="46" t="s">
        <v>1317</v>
      </c>
      <c r="Y115" s="46" t="s">
        <v>1069</v>
      </c>
    </row>
    <row r="116" customFormat="false" ht="15" hidden="false" customHeight="false" outlineLevel="0" collapsed="false">
      <c r="A116" s="46" t="s">
        <v>1321</v>
      </c>
      <c r="B116" s="46" t="s">
        <v>1270</v>
      </c>
      <c r="C116" s="46" t="s">
        <v>1311</v>
      </c>
      <c r="D116" s="46" t="s">
        <v>1312</v>
      </c>
      <c r="E116" s="46" t="s">
        <v>1313</v>
      </c>
      <c r="F116" s="46" t="s">
        <v>1314</v>
      </c>
      <c r="G116" s="46"/>
      <c r="H116" s="46" t="s">
        <v>1066</v>
      </c>
      <c r="I116" s="46" t="s">
        <v>1066</v>
      </c>
      <c r="J116" s="46"/>
      <c r="K116" s="46"/>
      <c r="L116" s="46"/>
      <c r="M116" s="46"/>
      <c r="N116" s="46"/>
      <c r="O116" s="46"/>
      <c r="P116" s="46" t="s">
        <v>1273</v>
      </c>
      <c r="Q116" s="46" t="s">
        <v>471</v>
      </c>
      <c r="R116" s="50" t="n">
        <f aca="false">FL_Abb14!D5</f>
        <v>26200</v>
      </c>
      <c r="S116" s="46" t="s">
        <v>1322</v>
      </c>
      <c r="T116" s="46" t="s">
        <v>37</v>
      </c>
      <c r="U116" s="46" t="s">
        <v>1320</v>
      </c>
      <c r="V116" s="46" t="s">
        <v>1275</v>
      </c>
      <c r="W116" s="46" t="s">
        <v>1316</v>
      </c>
      <c r="X116" s="46" t="s">
        <v>1317</v>
      </c>
      <c r="Y116" s="46" t="s">
        <v>1072</v>
      </c>
    </row>
    <row r="117" customFormat="false" ht="15" hidden="false" customHeight="false" outlineLevel="0" collapsed="false">
      <c r="A117" s="46" t="s">
        <v>1323</v>
      </c>
      <c r="B117" s="46" t="s">
        <v>1270</v>
      </c>
      <c r="C117" s="46" t="s">
        <v>1311</v>
      </c>
      <c r="D117" s="46" t="s">
        <v>1312</v>
      </c>
      <c r="E117" s="46" t="s">
        <v>1313</v>
      </c>
      <c r="F117" s="46" t="s">
        <v>1314</v>
      </c>
      <c r="G117" s="46"/>
      <c r="H117" s="46" t="s">
        <v>1066</v>
      </c>
      <c r="I117" s="46" t="s">
        <v>1066</v>
      </c>
      <c r="J117" s="46"/>
      <c r="K117" s="46"/>
      <c r="L117" s="46"/>
      <c r="M117" s="46"/>
      <c r="N117" s="46"/>
      <c r="O117" s="46"/>
      <c r="P117" s="46" t="s">
        <v>1324</v>
      </c>
      <c r="Q117" s="46" t="s">
        <v>471</v>
      </c>
      <c r="R117" s="50" t="n">
        <f aca="false">FL_Abb14!E5</f>
        <v>25200</v>
      </c>
      <c r="S117" s="46" t="s">
        <v>1325</v>
      </c>
      <c r="T117" s="46" t="s">
        <v>37</v>
      </c>
      <c r="U117" s="46" t="s">
        <v>1320</v>
      </c>
      <c r="V117" s="46" t="s">
        <v>1275</v>
      </c>
      <c r="W117" s="46" t="s">
        <v>1316</v>
      </c>
      <c r="X117" s="46" t="s">
        <v>1317</v>
      </c>
      <c r="Y117" s="46" t="s">
        <v>1075</v>
      </c>
    </row>
    <row r="118" customFormat="false" ht="15" hidden="false" customHeight="false" outlineLevel="0" collapsed="false">
      <c r="A118" s="46" t="s">
        <v>1326</v>
      </c>
      <c r="B118" s="46" t="s">
        <v>1270</v>
      </c>
      <c r="C118" s="46" t="s">
        <v>1311</v>
      </c>
      <c r="D118" s="46" t="s">
        <v>1312</v>
      </c>
      <c r="E118" s="46" t="s">
        <v>1313</v>
      </c>
      <c r="F118" s="46" t="s">
        <v>1314</v>
      </c>
      <c r="G118" s="46"/>
      <c r="H118" s="46" t="s">
        <v>1066</v>
      </c>
      <c r="I118" s="46" t="s">
        <v>1066</v>
      </c>
      <c r="J118" s="46"/>
      <c r="K118" s="46"/>
      <c r="L118" s="46"/>
      <c r="M118" s="46"/>
      <c r="N118" s="46"/>
      <c r="O118" s="46"/>
      <c r="P118" s="46" t="s">
        <v>1327</v>
      </c>
      <c r="Q118" s="46" t="s">
        <v>471</v>
      </c>
      <c r="R118" s="50" t="n">
        <f aca="false">FL_Abb14!F5</f>
        <v>25200</v>
      </c>
      <c r="S118" s="46" t="s">
        <v>1325</v>
      </c>
      <c r="T118" s="46" t="s">
        <v>37</v>
      </c>
      <c r="U118" s="46" t="s">
        <v>1320</v>
      </c>
      <c r="V118" s="46" t="s">
        <v>1275</v>
      </c>
      <c r="W118" s="46" t="s">
        <v>1316</v>
      </c>
      <c r="X118" s="46" t="s">
        <v>1317</v>
      </c>
      <c r="Y118" s="46" t="s">
        <v>1328</v>
      </c>
    </row>
    <row r="119" customFormat="false" ht="15" hidden="false" customHeight="false" outlineLevel="0" collapsed="false">
      <c r="A119" s="46" t="s">
        <v>1329</v>
      </c>
      <c r="B119" s="46" t="s">
        <v>1270</v>
      </c>
      <c r="C119" s="46" t="s">
        <v>1311</v>
      </c>
      <c r="D119" s="46" t="s">
        <v>1330</v>
      </c>
      <c r="E119" s="46" t="s">
        <v>1331</v>
      </c>
      <c r="F119" s="46" t="s">
        <v>1314</v>
      </c>
      <c r="G119" s="46"/>
      <c r="H119" s="46" t="s">
        <v>1066</v>
      </c>
      <c r="I119" s="46" t="s">
        <v>1066</v>
      </c>
      <c r="J119" s="46"/>
      <c r="K119" s="46"/>
      <c r="L119" s="46"/>
      <c r="M119" s="46"/>
      <c r="N119" s="46"/>
      <c r="O119" s="46"/>
      <c r="P119" s="46" t="s">
        <v>1315</v>
      </c>
      <c r="Q119" s="46" t="s">
        <v>471</v>
      </c>
      <c r="R119" s="50" t="n">
        <f aca="false">FL_Abb14!B6</f>
        <v>100</v>
      </c>
      <c r="S119" s="46" t="s">
        <v>1166</v>
      </c>
      <c r="T119" s="46" t="s">
        <v>39</v>
      </c>
      <c r="U119" s="46" t="s">
        <v>39</v>
      </c>
      <c r="V119" s="46" t="s">
        <v>1275</v>
      </c>
      <c r="W119" s="46" t="s">
        <v>1332</v>
      </c>
      <c r="X119" s="46" t="s">
        <v>1317</v>
      </c>
      <c r="Y119" s="46" t="s">
        <v>1077</v>
      </c>
    </row>
    <row r="120" customFormat="false" ht="15" hidden="false" customHeight="false" outlineLevel="0" collapsed="false">
      <c r="A120" s="46" t="s">
        <v>1333</v>
      </c>
      <c r="B120" s="46" t="s">
        <v>1270</v>
      </c>
      <c r="C120" s="46" t="s">
        <v>1311</v>
      </c>
      <c r="D120" s="46" t="s">
        <v>1330</v>
      </c>
      <c r="E120" s="46" t="s">
        <v>1331</v>
      </c>
      <c r="F120" s="46" t="s">
        <v>1314</v>
      </c>
      <c r="G120" s="46"/>
      <c r="H120" s="46" t="s">
        <v>1066</v>
      </c>
      <c r="I120" s="46" t="s">
        <v>1066</v>
      </c>
      <c r="J120" s="46"/>
      <c r="K120" s="46"/>
      <c r="L120" s="46"/>
      <c r="M120" s="46"/>
      <c r="N120" s="46"/>
      <c r="O120" s="46"/>
      <c r="P120" s="46" t="s">
        <v>1216</v>
      </c>
      <c r="Q120" s="46" t="s">
        <v>471</v>
      </c>
      <c r="R120" s="50" t="n">
        <f aca="false">FL_Abb14!C6</f>
        <v>8800</v>
      </c>
      <c r="S120" s="46" t="s">
        <v>1334</v>
      </c>
      <c r="T120" s="46" t="s">
        <v>37</v>
      </c>
      <c r="U120" s="46" t="s">
        <v>1320</v>
      </c>
      <c r="V120" s="46" t="s">
        <v>1275</v>
      </c>
      <c r="W120" s="46" t="s">
        <v>1332</v>
      </c>
      <c r="X120" s="46" t="s">
        <v>1317</v>
      </c>
      <c r="Y120" s="46" t="s">
        <v>1079</v>
      </c>
    </row>
    <row r="121" customFormat="false" ht="15" hidden="false" customHeight="false" outlineLevel="0" collapsed="false">
      <c r="A121" s="46" t="s">
        <v>1335</v>
      </c>
      <c r="B121" s="46" t="s">
        <v>1270</v>
      </c>
      <c r="C121" s="46" t="s">
        <v>1311</v>
      </c>
      <c r="D121" s="46" t="s">
        <v>1330</v>
      </c>
      <c r="E121" s="46" t="s">
        <v>1331</v>
      </c>
      <c r="F121" s="46" t="s">
        <v>1314</v>
      </c>
      <c r="G121" s="46"/>
      <c r="H121" s="46" t="s">
        <v>1066</v>
      </c>
      <c r="I121" s="46" t="s">
        <v>1066</v>
      </c>
      <c r="J121" s="46"/>
      <c r="K121" s="46"/>
      <c r="L121" s="46"/>
      <c r="M121" s="46"/>
      <c r="N121" s="46"/>
      <c r="O121" s="46"/>
      <c r="P121" s="46" t="s">
        <v>1273</v>
      </c>
      <c r="Q121" s="46" t="s">
        <v>471</v>
      </c>
      <c r="R121" s="50" t="n">
        <f aca="false">FL_Abb14!D6</f>
        <v>13000</v>
      </c>
      <c r="S121" s="46" t="s">
        <v>1336</v>
      </c>
      <c r="T121" s="46" t="s">
        <v>37</v>
      </c>
      <c r="U121" s="46" t="s">
        <v>1320</v>
      </c>
      <c r="V121" s="46" t="s">
        <v>1275</v>
      </c>
      <c r="W121" s="46" t="s">
        <v>1332</v>
      </c>
      <c r="X121" s="46" t="s">
        <v>1317</v>
      </c>
      <c r="Y121" s="46" t="s">
        <v>1081</v>
      </c>
    </row>
    <row r="122" customFormat="false" ht="15" hidden="false" customHeight="false" outlineLevel="0" collapsed="false">
      <c r="A122" s="46" t="s">
        <v>1337</v>
      </c>
      <c r="B122" s="46" t="s">
        <v>1270</v>
      </c>
      <c r="C122" s="46" t="s">
        <v>1311</v>
      </c>
      <c r="D122" s="46" t="s">
        <v>1330</v>
      </c>
      <c r="E122" s="46" t="s">
        <v>1331</v>
      </c>
      <c r="F122" s="46" t="s">
        <v>1314</v>
      </c>
      <c r="G122" s="46"/>
      <c r="H122" s="46" t="s">
        <v>1066</v>
      </c>
      <c r="I122" s="46" t="s">
        <v>1066</v>
      </c>
      <c r="J122" s="46"/>
      <c r="K122" s="46"/>
      <c r="L122" s="46"/>
      <c r="M122" s="46"/>
      <c r="N122" s="46"/>
      <c r="O122" s="46"/>
      <c r="P122" s="46" t="s">
        <v>1324</v>
      </c>
      <c r="Q122" s="46" t="s">
        <v>471</v>
      </c>
      <c r="R122" s="50" t="n">
        <f aca="false">FL_Abb14!E6</f>
        <v>13500</v>
      </c>
      <c r="S122" s="46" t="s">
        <v>1338</v>
      </c>
      <c r="T122" s="46" t="s">
        <v>37</v>
      </c>
      <c r="U122" s="46" t="s">
        <v>1320</v>
      </c>
      <c r="V122" s="46" t="s">
        <v>1275</v>
      </c>
      <c r="W122" s="46" t="s">
        <v>1332</v>
      </c>
      <c r="X122" s="46" t="s">
        <v>1317</v>
      </c>
      <c r="Y122" s="46" t="s">
        <v>1083</v>
      </c>
    </row>
    <row r="123" customFormat="false" ht="15" hidden="false" customHeight="false" outlineLevel="0" collapsed="false">
      <c r="A123" s="46" t="s">
        <v>1339</v>
      </c>
      <c r="B123" s="46" t="s">
        <v>1270</v>
      </c>
      <c r="C123" s="46" t="s">
        <v>1311</v>
      </c>
      <c r="D123" s="46" t="s">
        <v>1330</v>
      </c>
      <c r="E123" s="46" t="s">
        <v>1331</v>
      </c>
      <c r="F123" s="46" t="s">
        <v>1314</v>
      </c>
      <c r="G123" s="46"/>
      <c r="H123" s="46" t="s">
        <v>1066</v>
      </c>
      <c r="I123" s="46" t="s">
        <v>1066</v>
      </c>
      <c r="J123" s="46"/>
      <c r="K123" s="46"/>
      <c r="L123" s="46"/>
      <c r="M123" s="46"/>
      <c r="N123" s="46"/>
      <c r="O123" s="46"/>
      <c r="P123" s="46" t="s">
        <v>1327</v>
      </c>
      <c r="Q123" s="46" t="s">
        <v>471</v>
      </c>
      <c r="R123" s="50" t="n">
        <f aca="false">FL_Abb14!F6</f>
        <v>17000</v>
      </c>
      <c r="S123" s="46" t="s">
        <v>1340</v>
      </c>
      <c r="T123" s="46" t="s">
        <v>37</v>
      </c>
      <c r="U123" s="46" t="s">
        <v>1320</v>
      </c>
      <c r="V123" s="46" t="s">
        <v>1275</v>
      </c>
      <c r="W123" s="46" t="s">
        <v>1332</v>
      </c>
      <c r="X123" s="46" t="s">
        <v>1317</v>
      </c>
      <c r="Y123" s="46" t="s">
        <v>1341</v>
      </c>
    </row>
    <row r="124" customFormat="false" ht="15" hidden="false" customHeight="false" outlineLevel="0" collapsed="false">
      <c r="A124" s="46" t="s">
        <v>1342</v>
      </c>
      <c r="B124" s="46" t="s">
        <v>1270</v>
      </c>
      <c r="C124" s="46" t="s">
        <v>1311</v>
      </c>
      <c r="D124" s="46" t="s">
        <v>1343</v>
      </c>
      <c r="E124" s="46" t="s">
        <v>1344</v>
      </c>
      <c r="F124" s="46" t="s">
        <v>1314</v>
      </c>
      <c r="G124" s="46"/>
      <c r="H124" s="46" t="s">
        <v>1066</v>
      </c>
      <c r="I124" s="46" t="s">
        <v>1066</v>
      </c>
      <c r="J124" s="46"/>
      <c r="K124" s="46"/>
      <c r="L124" s="46"/>
      <c r="M124" s="46"/>
      <c r="N124" s="46"/>
      <c r="O124" s="46"/>
      <c r="P124" s="46" t="s">
        <v>1315</v>
      </c>
      <c r="Q124" s="46" t="s">
        <v>471</v>
      </c>
      <c r="R124" s="50" t="n">
        <f aca="false">FL_Abb14!B7</f>
        <v>100</v>
      </c>
      <c r="S124" s="46" t="s">
        <v>1166</v>
      </c>
      <c r="T124" s="46" t="s">
        <v>39</v>
      </c>
      <c r="U124" s="46" t="s">
        <v>39</v>
      </c>
      <c r="V124" s="46" t="s">
        <v>1275</v>
      </c>
      <c r="W124" s="46" t="s">
        <v>1345</v>
      </c>
      <c r="X124" s="46" t="s">
        <v>1317</v>
      </c>
      <c r="Y124" s="46" t="s">
        <v>1085</v>
      </c>
    </row>
    <row r="125" customFormat="false" ht="15" hidden="false" customHeight="false" outlineLevel="0" collapsed="false">
      <c r="A125" s="46" t="s">
        <v>1346</v>
      </c>
      <c r="B125" s="46" t="s">
        <v>1270</v>
      </c>
      <c r="C125" s="46" t="s">
        <v>1311</v>
      </c>
      <c r="D125" s="46" t="s">
        <v>1343</v>
      </c>
      <c r="E125" s="46" t="s">
        <v>1344</v>
      </c>
      <c r="F125" s="46" t="s">
        <v>1314</v>
      </c>
      <c r="G125" s="46"/>
      <c r="H125" s="46" t="s">
        <v>1066</v>
      </c>
      <c r="I125" s="46" t="s">
        <v>1066</v>
      </c>
      <c r="J125" s="46"/>
      <c r="K125" s="46"/>
      <c r="L125" s="46"/>
      <c r="M125" s="46"/>
      <c r="N125" s="46"/>
      <c r="O125" s="46"/>
      <c r="P125" s="46" t="s">
        <v>1216</v>
      </c>
      <c r="Q125" s="46" t="s">
        <v>471</v>
      </c>
      <c r="R125" s="50" t="n">
        <f aca="false">FL_Abb14!C7</f>
        <v>2300</v>
      </c>
      <c r="S125" s="46" t="s">
        <v>1347</v>
      </c>
      <c r="T125" s="46" t="s">
        <v>37</v>
      </c>
      <c r="U125" s="46" t="s">
        <v>1348</v>
      </c>
      <c r="V125" s="46" t="s">
        <v>1275</v>
      </c>
      <c r="W125" s="46" t="s">
        <v>1345</v>
      </c>
      <c r="X125" s="46" t="s">
        <v>1317</v>
      </c>
      <c r="Y125" s="46" t="s">
        <v>1087</v>
      </c>
    </row>
    <row r="126" customFormat="false" ht="15" hidden="false" customHeight="false" outlineLevel="0" collapsed="false">
      <c r="A126" s="46" t="s">
        <v>1349</v>
      </c>
      <c r="B126" s="46" t="s">
        <v>1270</v>
      </c>
      <c r="C126" s="46" t="s">
        <v>1311</v>
      </c>
      <c r="D126" s="46" t="s">
        <v>1343</v>
      </c>
      <c r="E126" s="46" t="s">
        <v>1344</v>
      </c>
      <c r="F126" s="46" t="s">
        <v>1314</v>
      </c>
      <c r="G126" s="46"/>
      <c r="H126" s="46" t="s">
        <v>1066</v>
      </c>
      <c r="I126" s="46" t="s">
        <v>1066</v>
      </c>
      <c r="J126" s="46"/>
      <c r="K126" s="46"/>
      <c r="L126" s="46"/>
      <c r="M126" s="46"/>
      <c r="N126" s="46"/>
      <c r="O126" s="46"/>
      <c r="P126" s="46" t="s">
        <v>1273</v>
      </c>
      <c r="Q126" s="46" t="s">
        <v>471</v>
      </c>
      <c r="R126" s="50" t="n">
        <f aca="false">FL_Abb14!D7</f>
        <v>13800</v>
      </c>
      <c r="S126" s="46" t="s">
        <v>1350</v>
      </c>
      <c r="T126" s="46" t="s">
        <v>37</v>
      </c>
      <c r="U126" s="46" t="s">
        <v>1348</v>
      </c>
      <c r="V126" s="46" t="s">
        <v>1275</v>
      </c>
      <c r="W126" s="46" t="s">
        <v>1345</v>
      </c>
      <c r="X126" s="46" t="s">
        <v>1317</v>
      </c>
      <c r="Y126" s="46" t="s">
        <v>1089</v>
      </c>
    </row>
    <row r="127" customFormat="false" ht="15" hidden="false" customHeight="false" outlineLevel="0" collapsed="false">
      <c r="A127" s="46" t="s">
        <v>1351</v>
      </c>
      <c r="B127" s="46" t="s">
        <v>1270</v>
      </c>
      <c r="C127" s="46" t="s">
        <v>1311</v>
      </c>
      <c r="D127" s="46" t="s">
        <v>1343</v>
      </c>
      <c r="E127" s="46" t="s">
        <v>1344</v>
      </c>
      <c r="F127" s="46" t="s">
        <v>1314</v>
      </c>
      <c r="G127" s="46"/>
      <c r="H127" s="46" t="s">
        <v>1066</v>
      </c>
      <c r="I127" s="46" t="s">
        <v>1066</v>
      </c>
      <c r="J127" s="46"/>
      <c r="K127" s="46"/>
      <c r="L127" s="46"/>
      <c r="M127" s="46"/>
      <c r="N127" s="46"/>
      <c r="O127" s="46"/>
      <c r="P127" s="46" t="s">
        <v>1324</v>
      </c>
      <c r="Q127" s="46" t="s">
        <v>471</v>
      </c>
      <c r="R127" s="50" t="n">
        <f aca="false">FL_Abb14!E7</f>
        <v>14600</v>
      </c>
      <c r="S127" s="46" t="s">
        <v>1352</v>
      </c>
      <c r="T127" s="46" t="s">
        <v>37</v>
      </c>
      <c r="U127" s="46" t="s">
        <v>1348</v>
      </c>
      <c r="V127" s="46" t="s">
        <v>1275</v>
      </c>
      <c r="W127" s="46" t="s">
        <v>1345</v>
      </c>
      <c r="X127" s="46" t="s">
        <v>1317</v>
      </c>
      <c r="Y127" s="46" t="s">
        <v>1091</v>
      </c>
    </row>
    <row r="128" customFormat="false" ht="15" hidden="false" customHeight="false" outlineLevel="0" collapsed="false">
      <c r="A128" s="46" t="s">
        <v>1353</v>
      </c>
      <c r="B128" s="46" t="s">
        <v>1270</v>
      </c>
      <c r="C128" s="46" t="s">
        <v>1311</v>
      </c>
      <c r="D128" s="46" t="s">
        <v>1343</v>
      </c>
      <c r="E128" s="46" t="s">
        <v>1344</v>
      </c>
      <c r="F128" s="46" t="s">
        <v>1314</v>
      </c>
      <c r="G128" s="46"/>
      <c r="H128" s="46" t="s">
        <v>1066</v>
      </c>
      <c r="I128" s="46" t="s">
        <v>1066</v>
      </c>
      <c r="J128" s="46"/>
      <c r="K128" s="46"/>
      <c r="L128" s="46"/>
      <c r="M128" s="46"/>
      <c r="N128" s="46"/>
      <c r="O128" s="46"/>
      <c r="P128" s="46" t="s">
        <v>1327</v>
      </c>
      <c r="Q128" s="46" t="s">
        <v>471</v>
      </c>
      <c r="R128" s="50" t="n">
        <f aca="false">FL_Abb14!F7</f>
        <v>15700</v>
      </c>
      <c r="S128" s="46" t="s">
        <v>1354</v>
      </c>
      <c r="T128" s="46" t="s">
        <v>37</v>
      </c>
      <c r="U128" s="46" t="s">
        <v>1348</v>
      </c>
      <c r="V128" s="46" t="s">
        <v>1275</v>
      </c>
      <c r="W128" s="46" t="s">
        <v>1345</v>
      </c>
      <c r="X128" s="46" t="s">
        <v>1317</v>
      </c>
      <c r="Y128" s="46" t="s">
        <v>1355</v>
      </c>
    </row>
    <row r="129" customFormat="false" ht="15" hidden="false" customHeight="false" outlineLevel="0" collapsed="false">
      <c r="A129" s="46" t="s">
        <v>1356</v>
      </c>
      <c r="B129" s="46" t="s">
        <v>1270</v>
      </c>
      <c r="C129" s="46" t="s">
        <v>1311</v>
      </c>
      <c r="D129" s="46" t="s">
        <v>1357</v>
      </c>
      <c r="E129" s="46" t="s">
        <v>1358</v>
      </c>
      <c r="F129" s="46" t="s">
        <v>1314</v>
      </c>
      <c r="G129" s="46"/>
      <c r="H129" s="46" t="s">
        <v>1066</v>
      </c>
      <c r="I129" s="46" t="s">
        <v>1066</v>
      </c>
      <c r="J129" s="46"/>
      <c r="K129" s="46"/>
      <c r="L129" s="46"/>
      <c r="M129" s="46"/>
      <c r="N129" s="46"/>
      <c r="O129" s="46"/>
      <c r="P129" s="46" t="s">
        <v>1315</v>
      </c>
      <c r="Q129" s="46" t="s">
        <v>471</v>
      </c>
      <c r="R129" s="50" t="n">
        <f aca="false">FL_Abb14!B8</f>
        <v>100</v>
      </c>
      <c r="S129" s="46" t="s">
        <v>1166</v>
      </c>
      <c r="T129" s="46" t="s">
        <v>39</v>
      </c>
      <c r="U129" s="46" t="s">
        <v>39</v>
      </c>
      <c r="V129" s="46" t="s">
        <v>1275</v>
      </c>
      <c r="W129" s="46" t="s">
        <v>1359</v>
      </c>
      <c r="X129" s="46" t="s">
        <v>1317</v>
      </c>
      <c r="Y129" s="46" t="s">
        <v>1094</v>
      </c>
    </row>
    <row r="130" customFormat="false" ht="15" hidden="false" customHeight="false" outlineLevel="0" collapsed="false">
      <c r="A130" s="46" t="s">
        <v>1360</v>
      </c>
      <c r="B130" s="46" t="s">
        <v>1270</v>
      </c>
      <c r="C130" s="46" t="s">
        <v>1311</v>
      </c>
      <c r="D130" s="46" t="s">
        <v>1357</v>
      </c>
      <c r="E130" s="46" t="s">
        <v>1358</v>
      </c>
      <c r="F130" s="46" t="s">
        <v>1314</v>
      </c>
      <c r="G130" s="46"/>
      <c r="H130" s="46" t="s">
        <v>1066</v>
      </c>
      <c r="I130" s="46" t="s">
        <v>1066</v>
      </c>
      <c r="J130" s="46"/>
      <c r="K130" s="46"/>
      <c r="L130" s="46"/>
      <c r="M130" s="46"/>
      <c r="N130" s="46"/>
      <c r="O130" s="46"/>
      <c r="P130" s="46" t="s">
        <v>1216</v>
      </c>
      <c r="Q130" s="46" t="s">
        <v>471</v>
      </c>
      <c r="R130" s="50" t="n">
        <f aca="false">FL_Abb14!C8</f>
        <v>2000</v>
      </c>
      <c r="S130" s="46" t="s">
        <v>1361</v>
      </c>
      <c r="T130" s="46" t="s">
        <v>37</v>
      </c>
      <c r="U130" s="46" t="s">
        <v>1348</v>
      </c>
      <c r="V130" s="46" t="s">
        <v>1275</v>
      </c>
      <c r="W130" s="46" t="s">
        <v>1359</v>
      </c>
      <c r="X130" s="46" t="s">
        <v>1317</v>
      </c>
      <c r="Y130" s="46" t="s">
        <v>1096</v>
      </c>
    </row>
    <row r="131" customFormat="false" ht="15" hidden="false" customHeight="false" outlineLevel="0" collapsed="false">
      <c r="A131" s="46" t="s">
        <v>1362</v>
      </c>
      <c r="B131" s="46" t="s">
        <v>1270</v>
      </c>
      <c r="C131" s="46" t="s">
        <v>1311</v>
      </c>
      <c r="D131" s="46" t="s">
        <v>1357</v>
      </c>
      <c r="E131" s="46" t="s">
        <v>1358</v>
      </c>
      <c r="F131" s="46" t="s">
        <v>1314</v>
      </c>
      <c r="G131" s="46"/>
      <c r="H131" s="46" t="s">
        <v>1066</v>
      </c>
      <c r="I131" s="46" t="s">
        <v>1066</v>
      </c>
      <c r="J131" s="46"/>
      <c r="K131" s="46"/>
      <c r="L131" s="46"/>
      <c r="M131" s="46"/>
      <c r="N131" s="46"/>
      <c r="O131" s="46"/>
      <c r="P131" s="46" t="s">
        <v>1273</v>
      </c>
      <c r="Q131" s="46" t="s">
        <v>471</v>
      </c>
      <c r="R131" s="50" t="n">
        <f aca="false">FL_Abb14!D8</f>
        <v>14900</v>
      </c>
      <c r="S131" s="46" t="s">
        <v>1363</v>
      </c>
      <c r="T131" s="46" t="s">
        <v>37</v>
      </c>
      <c r="U131" s="46" t="s">
        <v>1348</v>
      </c>
      <c r="V131" s="46" t="s">
        <v>1275</v>
      </c>
      <c r="W131" s="46" t="s">
        <v>1359</v>
      </c>
      <c r="X131" s="46" t="s">
        <v>1317</v>
      </c>
      <c r="Y131" s="46" t="s">
        <v>1098</v>
      </c>
    </row>
    <row r="132" customFormat="false" ht="15" hidden="false" customHeight="false" outlineLevel="0" collapsed="false">
      <c r="A132" s="46" t="s">
        <v>1364</v>
      </c>
      <c r="B132" s="46" t="s">
        <v>1270</v>
      </c>
      <c r="C132" s="46" t="s">
        <v>1311</v>
      </c>
      <c r="D132" s="46" t="s">
        <v>1357</v>
      </c>
      <c r="E132" s="46" t="s">
        <v>1358</v>
      </c>
      <c r="F132" s="46" t="s">
        <v>1314</v>
      </c>
      <c r="G132" s="46"/>
      <c r="H132" s="46" t="s">
        <v>1066</v>
      </c>
      <c r="I132" s="46" t="s">
        <v>1066</v>
      </c>
      <c r="J132" s="46"/>
      <c r="K132" s="46"/>
      <c r="L132" s="46"/>
      <c r="M132" s="46"/>
      <c r="N132" s="46"/>
      <c r="O132" s="46"/>
      <c r="P132" s="46" t="s">
        <v>1324</v>
      </c>
      <c r="Q132" s="46" t="s">
        <v>471</v>
      </c>
      <c r="R132" s="50" t="n">
        <f aca="false">FL_Abb14!E8</f>
        <v>16300</v>
      </c>
      <c r="S132" s="46" t="s">
        <v>1365</v>
      </c>
      <c r="T132" s="46" t="s">
        <v>37</v>
      </c>
      <c r="U132" s="46" t="s">
        <v>1348</v>
      </c>
      <c r="V132" s="46" t="s">
        <v>1275</v>
      </c>
      <c r="W132" s="46" t="s">
        <v>1359</v>
      </c>
      <c r="X132" s="46" t="s">
        <v>1317</v>
      </c>
      <c r="Y132" s="46" t="s">
        <v>1100</v>
      </c>
    </row>
    <row r="133" customFormat="false" ht="15" hidden="false" customHeight="false" outlineLevel="0" collapsed="false">
      <c r="A133" s="46" t="s">
        <v>1366</v>
      </c>
      <c r="B133" s="46" t="s">
        <v>1270</v>
      </c>
      <c r="C133" s="46" t="s">
        <v>1311</v>
      </c>
      <c r="D133" s="46" t="s">
        <v>1357</v>
      </c>
      <c r="E133" s="46" t="s">
        <v>1358</v>
      </c>
      <c r="F133" s="46" t="s">
        <v>1314</v>
      </c>
      <c r="G133" s="46"/>
      <c r="H133" s="46" t="s">
        <v>1066</v>
      </c>
      <c r="I133" s="46" t="s">
        <v>1066</v>
      </c>
      <c r="J133" s="46"/>
      <c r="K133" s="46"/>
      <c r="L133" s="46"/>
      <c r="M133" s="46"/>
      <c r="N133" s="46"/>
      <c r="O133" s="46"/>
      <c r="P133" s="46" t="s">
        <v>1327</v>
      </c>
      <c r="Q133" s="46" t="s">
        <v>471</v>
      </c>
      <c r="R133" s="50" t="n">
        <f aca="false">FL_Abb14!F8</f>
        <v>19400</v>
      </c>
      <c r="S133" s="46" t="s">
        <v>1367</v>
      </c>
      <c r="T133" s="46" t="s">
        <v>37</v>
      </c>
      <c r="U133" s="46" t="s">
        <v>1348</v>
      </c>
      <c r="V133" s="46" t="s">
        <v>1275</v>
      </c>
      <c r="W133" s="46" t="s">
        <v>1359</v>
      </c>
      <c r="X133" s="46" t="s">
        <v>1317</v>
      </c>
      <c r="Y133" s="46" t="s">
        <v>1368</v>
      </c>
    </row>
    <row r="134" customFormat="false" ht="15" hidden="false" customHeight="false" outlineLevel="0" collapsed="false">
      <c r="A134" s="46" t="s">
        <v>1369</v>
      </c>
      <c r="B134" s="46" t="s">
        <v>1270</v>
      </c>
      <c r="C134" s="46" t="s">
        <v>1311</v>
      </c>
      <c r="D134" s="46" t="s">
        <v>1370</v>
      </c>
      <c r="E134" s="46" t="s">
        <v>1371</v>
      </c>
      <c r="F134" s="46" t="s">
        <v>1314</v>
      </c>
      <c r="G134" s="46"/>
      <c r="H134" s="46" t="s">
        <v>1066</v>
      </c>
      <c r="I134" s="46" t="s">
        <v>1066</v>
      </c>
      <c r="J134" s="46"/>
      <c r="K134" s="46"/>
      <c r="L134" s="46"/>
      <c r="M134" s="46"/>
      <c r="N134" s="46"/>
      <c r="O134" s="46"/>
      <c r="P134" s="46" t="s">
        <v>1315</v>
      </c>
      <c r="Q134" s="46" t="s">
        <v>471</v>
      </c>
      <c r="R134" s="50" t="n">
        <f aca="false">FL_Abb14!B9</f>
        <v>100</v>
      </c>
      <c r="S134" s="46" t="s">
        <v>1166</v>
      </c>
      <c r="T134" s="46" t="s">
        <v>39</v>
      </c>
      <c r="U134" s="46" t="s">
        <v>39</v>
      </c>
      <c r="V134" s="46" t="s">
        <v>1275</v>
      </c>
      <c r="W134" s="46" t="s">
        <v>1372</v>
      </c>
      <c r="X134" s="46" t="s">
        <v>1317</v>
      </c>
      <c r="Y134" s="46" t="s">
        <v>1373</v>
      </c>
    </row>
    <row r="135" customFormat="false" ht="15" hidden="false" customHeight="false" outlineLevel="0" collapsed="false">
      <c r="A135" s="46" t="s">
        <v>1374</v>
      </c>
      <c r="B135" s="46" t="s">
        <v>1270</v>
      </c>
      <c r="C135" s="46" t="s">
        <v>1311</v>
      </c>
      <c r="D135" s="46" t="s">
        <v>1370</v>
      </c>
      <c r="E135" s="46" t="s">
        <v>1371</v>
      </c>
      <c r="F135" s="46" t="s">
        <v>1314</v>
      </c>
      <c r="G135" s="46"/>
      <c r="H135" s="46" t="s">
        <v>1066</v>
      </c>
      <c r="I135" s="46" t="s">
        <v>1066</v>
      </c>
      <c r="J135" s="46"/>
      <c r="K135" s="46"/>
      <c r="L135" s="46"/>
      <c r="M135" s="46"/>
      <c r="N135" s="46"/>
      <c r="O135" s="46"/>
      <c r="P135" s="46" t="s">
        <v>1216</v>
      </c>
      <c r="Q135" s="46" t="s">
        <v>471</v>
      </c>
      <c r="R135" s="50" t="n">
        <f aca="false">FL_Abb14!C9</f>
        <v>10</v>
      </c>
      <c r="S135" s="46" t="s">
        <v>1375</v>
      </c>
      <c r="T135" s="46" t="s">
        <v>37</v>
      </c>
      <c r="U135" s="46" t="s">
        <v>1348</v>
      </c>
      <c r="V135" s="46" t="s">
        <v>1275</v>
      </c>
      <c r="W135" s="46" t="s">
        <v>1372</v>
      </c>
      <c r="X135" s="46" t="s">
        <v>1317</v>
      </c>
      <c r="Y135" s="46" t="s">
        <v>1293</v>
      </c>
    </row>
    <row r="136" customFormat="false" ht="15" hidden="false" customHeight="false" outlineLevel="0" collapsed="false">
      <c r="A136" s="46" t="s">
        <v>1376</v>
      </c>
      <c r="B136" s="46" t="s">
        <v>1270</v>
      </c>
      <c r="C136" s="46" t="s">
        <v>1311</v>
      </c>
      <c r="D136" s="46" t="s">
        <v>1370</v>
      </c>
      <c r="E136" s="46" t="s">
        <v>1371</v>
      </c>
      <c r="F136" s="46" t="s">
        <v>1314</v>
      </c>
      <c r="G136" s="46"/>
      <c r="H136" s="46" t="s">
        <v>1066</v>
      </c>
      <c r="I136" s="46" t="s">
        <v>1066</v>
      </c>
      <c r="J136" s="46"/>
      <c r="K136" s="46"/>
      <c r="L136" s="46"/>
      <c r="M136" s="46"/>
      <c r="N136" s="46"/>
      <c r="O136" s="46"/>
      <c r="P136" s="46" t="s">
        <v>1273</v>
      </c>
      <c r="Q136" s="46" t="s">
        <v>471</v>
      </c>
      <c r="R136" s="50" t="n">
        <f aca="false">FL_Abb14!D9</f>
        <v>100</v>
      </c>
      <c r="S136" s="46" t="s">
        <v>1166</v>
      </c>
      <c r="T136" s="46" t="s">
        <v>37</v>
      </c>
      <c r="U136" s="46" t="s">
        <v>1348</v>
      </c>
      <c r="V136" s="46" t="s">
        <v>1275</v>
      </c>
      <c r="W136" s="46" t="s">
        <v>1372</v>
      </c>
      <c r="X136" s="46" t="s">
        <v>1317</v>
      </c>
      <c r="Y136" s="46" t="s">
        <v>1377</v>
      </c>
    </row>
    <row r="137" customFormat="false" ht="15" hidden="false" customHeight="false" outlineLevel="0" collapsed="false">
      <c r="A137" s="46" t="s">
        <v>1378</v>
      </c>
      <c r="B137" s="46" t="s">
        <v>1270</v>
      </c>
      <c r="C137" s="46" t="s">
        <v>1311</v>
      </c>
      <c r="D137" s="46" t="s">
        <v>1370</v>
      </c>
      <c r="E137" s="46" t="s">
        <v>1371</v>
      </c>
      <c r="F137" s="46" t="s">
        <v>1314</v>
      </c>
      <c r="G137" s="46"/>
      <c r="H137" s="46" t="s">
        <v>1066</v>
      </c>
      <c r="I137" s="46" t="s">
        <v>1066</v>
      </c>
      <c r="J137" s="46"/>
      <c r="K137" s="46"/>
      <c r="L137" s="46"/>
      <c r="M137" s="46"/>
      <c r="N137" s="46"/>
      <c r="O137" s="46"/>
      <c r="P137" s="46" t="s">
        <v>1324</v>
      </c>
      <c r="Q137" s="46" t="s">
        <v>471</v>
      </c>
      <c r="R137" s="50" t="n">
        <f aca="false">FL_Abb14!E9</f>
        <v>23</v>
      </c>
      <c r="S137" s="46" t="s">
        <v>1174</v>
      </c>
      <c r="T137" s="46" t="s">
        <v>37</v>
      </c>
      <c r="U137" s="46" t="s">
        <v>1348</v>
      </c>
      <c r="V137" s="46" t="s">
        <v>1275</v>
      </c>
      <c r="W137" s="46" t="s">
        <v>1372</v>
      </c>
      <c r="X137" s="46" t="s">
        <v>1317</v>
      </c>
      <c r="Y137" s="46" t="s">
        <v>1379</v>
      </c>
    </row>
    <row r="138" customFormat="false" ht="15" hidden="false" customHeight="false" outlineLevel="0" collapsed="false">
      <c r="A138" s="46" t="s">
        <v>1380</v>
      </c>
      <c r="B138" s="46" t="s">
        <v>1270</v>
      </c>
      <c r="C138" s="46" t="s">
        <v>1311</v>
      </c>
      <c r="D138" s="46" t="s">
        <v>1370</v>
      </c>
      <c r="E138" s="46" t="s">
        <v>1371</v>
      </c>
      <c r="F138" s="46" t="s">
        <v>1314</v>
      </c>
      <c r="G138" s="46"/>
      <c r="H138" s="46" t="s">
        <v>1066</v>
      </c>
      <c r="I138" s="46" t="s">
        <v>1066</v>
      </c>
      <c r="J138" s="46"/>
      <c r="K138" s="46"/>
      <c r="L138" s="46"/>
      <c r="M138" s="46"/>
      <c r="N138" s="46"/>
      <c r="O138" s="46"/>
      <c r="P138" s="46" t="s">
        <v>1327</v>
      </c>
      <c r="Q138" s="46" t="s">
        <v>471</v>
      </c>
      <c r="R138" s="50" t="n">
        <f aca="false">FL_Abb14!F9</f>
        <v>110</v>
      </c>
      <c r="S138" s="46" t="s">
        <v>1381</v>
      </c>
      <c r="T138" s="46" t="s">
        <v>37</v>
      </c>
      <c r="U138" s="46" t="s">
        <v>1348</v>
      </c>
      <c r="V138" s="46" t="s">
        <v>1275</v>
      </c>
      <c r="W138" s="46" t="s">
        <v>1372</v>
      </c>
      <c r="X138" s="46" t="s">
        <v>1317</v>
      </c>
      <c r="Y138" s="46" t="s">
        <v>1382</v>
      </c>
    </row>
    <row r="139" customFormat="false" ht="15" hidden="false" customHeight="false" outlineLevel="0" collapsed="false">
      <c r="A139" s="46" t="s">
        <v>1383</v>
      </c>
      <c r="B139" s="46" t="s">
        <v>1270</v>
      </c>
      <c r="C139" s="46" t="s">
        <v>1311</v>
      </c>
      <c r="D139" s="46" t="s">
        <v>1384</v>
      </c>
      <c r="E139" s="46" t="s">
        <v>1385</v>
      </c>
      <c r="F139" s="46" t="s">
        <v>1314</v>
      </c>
      <c r="G139" s="46"/>
      <c r="H139" s="46" t="s">
        <v>1066</v>
      </c>
      <c r="I139" s="46" t="s">
        <v>1066</v>
      </c>
      <c r="J139" s="46"/>
      <c r="K139" s="46"/>
      <c r="L139" s="46"/>
      <c r="M139" s="46"/>
      <c r="N139" s="46"/>
      <c r="O139" s="46"/>
      <c r="P139" s="46" t="s">
        <v>1315</v>
      </c>
      <c r="Q139" s="46" t="s">
        <v>471</v>
      </c>
      <c r="R139" s="50" t="n">
        <f aca="false">FL_Abb14!B10</f>
        <v>100</v>
      </c>
      <c r="S139" s="46" t="s">
        <v>1166</v>
      </c>
      <c r="T139" s="46" t="s">
        <v>39</v>
      </c>
      <c r="U139" s="46" t="s">
        <v>39</v>
      </c>
      <c r="V139" s="46" t="s">
        <v>1275</v>
      </c>
      <c r="W139" s="46" t="s">
        <v>1386</v>
      </c>
      <c r="X139" s="46" t="s">
        <v>1317</v>
      </c>
      <c r="Y139" s="46" t="s">
        <v>1387</v>
      </c>
    </row>
    <row r="140" customFormat="false" ht="15" hidden="false" customHeight="false" outlineLevel="0" collapsed="false">
      <c r="A140" s="46" t="s">
        <v>1388</v>
      </c>
      <c r="B140" s="46" t="s">
        <v>1270</v>
      </c>
      <c r="C140" s="46" t="s">
        <v>1311</v>
      </c>
      <c r="D140" s="46" t="s">
        <v>1384</v>
      </c>
      <c r="E140" s="46" t="s">
        <v>1385</v>
      </c>
      <c r="F140" s="46" t="s">
        <v>1314</v>
      </c>
      <c r="G140" s="46"/>
      <c r="H140" s="46" t="s">
        <v>1066</v>
      </c>
      <c r="I140" s="46" t="s">
        <v>1066</v>
      </c>
      <c r="J140" s="46"/>
      <c r="K140" s="46"/>
      <c r="L140" s="46"/>
      <c r="M140" s="46"/>
      <c r="N140" s="46"/>
      <c r="O140" s="46"/>
      <c r="P140" s="46" t="s">
        <v>1216</v>
      </c>
      <c r="Q140" s="46" t="s">
        <v>471</v>
      </c>
      <c r="R140" s="50" t="n">
        <f aca="false">FL_Abb14!C10</f>
        <v>100</v>
      </c>
      <c r="S140" s="46" t="s">
        <v>1166</v>
      </c>
      <c r="T140" s="46" t="s">
        <v>37</v>
      </c>
      <c r="U140" s="46" t="s">
        <v>1389</v>
      </c>
      <c r="V140" s="46" t="s">
        <v>1275</v>
      </c>
      <c r="W140" s="46" t="s">
        <v>1386</v>
      </c>
      <c r="X140" s="46" t="s">
        <v>1317</v>
      </c>
      <c r="Y140" s="46" t="s">
        <v>1299</v>
      </c>
    </row>
    <row r="141" customFormat="false" ht="15" hidden="false" customHeight="false" outlineLevel="0" collapsed="false">
      <c r="A141" s="46" t="s">
        <v>1390</v>
      </c>
      <c r="B141" s="46" t="s">
        <v>1270</v>
      </c>
      <c r="C141" s="46" t="s">
        <v>1311</v>
      </c>
      <c r="D141" s="46" t="s">
        <v>1384</v>
      </c>
      <c r="E141" s="46" t="s">
        <v>1385</v>
      </c>
      <c r="F141" s="46" t="s">
        <v>1314</v>
      </c>
      <c r="G141" s="46"/>
      <c r="H141" s="46" t="s">
        <v>1066</v>
      </c>
      <c r="I141" s="46" t="s">
        <v>1066</v>
      </c>
      <c r="J141" s="46"/>
      <c r="K141" s="46"/>
      <c r="L141" s="46"/>
      <c r="M141" s="46"/>
      <c r="N141" s="46"/>
      <c r="O141" s="46"/>
      <c r="P141" s="46" t="s">
        <v>1273</v>
      </c>
      <c r="Q141" s="46" t="s">
        <v>471</v>
      </c>
      <c r="R141" s="50" t="n">
        <f aca="false">FL_Abb14!D10</f>
        <v>119</v>
      </c>
      <c r="S141" s="46" t="s">
        <v>1391</v>
      </c>
      <c r="T141" s="46" t="s">
        <v>37</v>
      </c>
      <c r="U141" s="46" t="s">
        <v>1389</v>
      </c>
      <c r="V141" s="46" t="s">
        <v>1275</v>
      </c>
      <c r="W141" s="46" t="s">
        <v>1386</v>
      </c>
      <c r="X141" s="46" t="s">
        <v>1317</v>
      </c>
      <c r="Y141" s="46" t="s">
        <v>1392</v>
      </c>
    </row>
    <row r="142" customFormat="false" ht="15" hidden="false" customHeight="false" outlineLevel="0" collapsed="false">
      <c r="A142" s="46" t="s">
        <v>1393</v>
      </c>
      <c r="B142" s="46" t="s">
        <v>1270</v>
      </c>
      <c r="C142" s="46" t="s">
        <v>1311</v>
      </c>
      <c r="D142" s="46" t="s">
        <v>1384</v>
      </c>
      <c r="E142" s="46" t="s">
        <v>1385</v>
      </c>
      <c r="F142" s="46" t="s">
        <v>1314</v>
      </c>
      <c r="G142" s="46"/>
      <c r="H142" s="46" t="s">
        <v>1066</v>
      </c>
      <c r="I142" s="46" t="s">
        <v>1066</v>
      </c>
      <c r="J142" s="46"/>
      <c r="K142" s="46"/>
      <c r="L142" s="46"/>
      <c r="M142" s="46"/>
      <c r="N142" s="46"/>
      <c r="O142" s="46"/>
      <c r="P142" s="46" t="s">
        <v>1324</v>
      </c>
      <c r="Q142" s="46" t="s">
        <v>471</v>
      </c>
      <c r="R142" s="50" t="n">
        <f aca="false">FL_Abb14!E10</f>
        <v>124</v>
      </c>
      <c r="S142" s="46" t="s">
        <v>1394</v>
      </c>
      <c r="T142" s="46" t="s">
        <v>37</v>
      </c>
      <c r="U142" s="46" t="s">
        <v>1389</v>
      </c>
      <c r="V142" s="46" t="s">
        <v>1275</v>
      </c>
      <c r="W142" s="46" t="s">
        <v>1386</v>
      </c>
      <c r="X142" s="46" t="s">
        <v>1317</v>
      </c>
      <c r="Y142" s="46" t="s">
        <v>1395</v>
      </c>
    </row>
    <row r="143" customFormat="false" ht="15" hidden="false" customHeight="false" outlineLevel="0" collapsed="false">
      <c r="A143" s="46" t="s">
        <v>1396</v>
      </c>
      <c r="B143" s="46" t="s">
        <v>1270</v>
      </c>
      <c r="C143" s="46" t="s">
        <v>1311</v>
      </c>
      <c r="D143" s="46" t="s">
        <v>1384</v>
      </c>
      <c r="E143" s="46" t="s">
        <v>1385</v>
      </c>
      <c r="F143" s="46" t="s">
        <v>1314</v>
      </c>
      <c r="G143" s="46"/>
      <c r="H143" s="46" t="s">
        <v>1066</v>
      </c>
      <c r="I143" s="46" t="s">
        <v>1066</v>
      </c>
      <c r="J143" s="46"/>
      <c r="K143" s="46"/>
      <c r="L143" s="46"/>
      <c r="M143" s="46"/>
      <c r="N143" s="46"/>
      <c r="O143" s="46"/>
      <c r="P143" s="46" t="s">
        <v>1327</v>
      </c>
      <c r="Q143" s="46" t="s">
        <v>471</v>
      </c>
      <c r="R143" s="50" t="n">
        <f aca="false">FL_Abb14!F10</f>
        <v>124</v>
      </c>
      <c r="S143" s="46" t="s">
        <v>1394</v>
      </c>
      <c r="T143" s="46" t="s">
        <v>37</v>
      </c>
      <c r="U143" s="46" t="s">
        <v>1389</v>
      </c>
      <c r="V143" s="46" t="s">
        <v>1275</v>
      </c>
      <c r="W143" s="46" t="s">
        <v>1386</v>
      </c>
      <c r="X143" s="46" t="s">
        <v>1317</v>
      </c>
      <c r="Y143" s="46" t="s">
        <v>1397</v>
      </c>
    </row>
    <row r="144" customFormat="false" ht="15" hidden="false" customHeight="false" outlineLevel="0" collapsed="false">
      <c r="A144" s="46" t="s">
        <v>1398</v>
      </c>
      <c r="B144" s="46" t="s">
        <v>1270</v>
      </c>
      <c r="C144" s="46" t="s">
        <v>1311</v>
      </c>
      <c r="D144" s="46" t="s">
        <v>1399</v>
      </c>
      <c r="E144" s="46" t="s">
        <v>1400</v>
      </c>
      <c r="F144" s="46" t="s">
        <v>1314</v>
      </c>
      <c r="G144" s="46"/>
      <c r="H144" s="46" t="s">
        <v>1066</v>
      </c>
      <c r="I144" s="46" t="s">
        <v>1066</v>
      </c>
      <c r="J144" s="46"/>
      <c r="K144" s="46"/>
      <c r="L144" s="46"/>
      <c r="M144" s="46"/>
      <c r="N144" s="46"/>
      <c r="O144" s="46"/>
      <c r="P144" s="46" t="s">
        <v>1315</v>
      </c>
      <c r="Q144" s="46" t="s">
        <v>471</v>
      </c>
      <c r="R144" s="50" t="n">
        <f aca="false">FL_Abb14!B11</f>
        <v>100</v>
      </c>
      <c r="S144" s="46" t="s">
        <v>1166</v>
      </c>
      <c r="T144" s="46" t="s">
        <v>39</v>
      </c>
      <c r="U144" s="46" t="s">
        <v>39</v>
      </c>
      <c r="V144" s="46" t="s">
        <v>1275</v>
      </c>
      <c r="W144" s="46" t="s">
        <v>1401</v>
      </c>
      <c r="X144" s="46" t="s">
        <v>1317</v>
      </c>
      <c r="Y144" s="46" t="s">
        <v>1402</v>
      </c>
    </row>
    <row r="145" customFormat="false" ht="15" hidden="false" customHeight="false" outlineLevel="0" collapsed="false">
      <c r="A145" s="46" t="s">
        <v>1403</v>
      </c>
      <c r="B145" s="46" t="s">
        <v>1270</v>
      </c>
      <c r="C145" s="46" t="s">
        <v>1311</v>
      </c>
      <c r="D145" s="46" t="s">
        <v>1399</v>
      </c>
      <c r="E145" s="46" t="s">
        <v>1400</v>
      </c>
      <c r="F145" s="46" t="s">
        <v>1314</v>
      </c>
      <c r="G145" s="46"/>
      <c r="H145" s="46" t="s">
        <v>1066</v>
      </c>
      <c r="I145" s="46" t="s">
        <v>1066</v>
      </c>
      <c r="J145" s="46"/>
      <c r="K145" s="46"/>
      <c r="L145" s="46"/>
      <c r="M145" s="46"/>
      <c r="N145" s="46"/>
      <c r="O145" s="46"/>
      <c r="P145" s="46" t="s">
        <v>1216</v>
      </c>
      <c r="Q145" s="46" t="s">
        <v>471</v>
      </c>
      <c r="R145" s="50" t="n">
        <f aca="false">FL_Abb14!C11</f>
        <v>105</v>
      </c>
      <c r="S145" s="46" t="s">
        <v>1404</v>
      </c>
      <c r="T145" s="46" t="s">
        <v>37</v>
      </c>
      <c r="U145" s="46" t="s">
        <v>1389</v>
      </c>
      <c r="V145" s="46" t="s">
        <v>1275</v>
      </c>
      <c r="W145" s="46" t="s">
        <v>1401</v>
      </c>
      <c r="X145" s="46" t="s">
        <v>1317</v>
      </c>
      <c r="Y145" s="46" t="s">
        <v>1304</v>
      </c>
    </row>
    <row r="146" customFormat="false" ht="15" hidden="false" customHeight="false" outlineLevel="0" collapsed="false">
      <c r="A146" s="46" t="s">
        <v>1405</v>
      </c>
      <c r="B146" s="46" t="s">
        <v>1270</v>
      </c>
      <c r="C146" s="46" t="s">
        <v>1311</v>
      </c>
      <c r="D146" s="46" t="s">
        <v>1399</v>
      </c>
      <c r="E146" s="46" t="s">
        <v>1400</v>
      </c>
      <c r="F146" s="46" t="s">
        <v>1314</v>
      </c>
      <c r="G146" s="46"/>
      <c r="H146" s="46" t="s">
        <v>1066</v>
      </c>
      <c r="I146" s="46" t="s">
        <v>1066</v>
      </c>
      <c r="J146" s="46"/>
      <c r="K146" s="46"/>
      <c r="L146" s="46"/>
      <c r="M146" s="46"/>
      <c r="N146" s="46"/>
      <c r="O146" s="46"/>
      <c r="P146" s="46" t="s">
        <v>1273</v>
      </c>
      <c r="Q146" s="46" t="s">
        <v>471</v>
      </c>
      <c r="R146" s="50" t="n">
        <f aca="false">FL_Abb14!D11</f>
        <v>137</v>
      </c>
      <c r="S146" s="46" t="s">
        <v>1406</v>
      </c>
      <c r="T146" s="46" t="s">
        <v>37</v>
      </c>
      <c r="U146" s="46" t="s">
        <v>1389</v>
      </c>
      <c r="V146" s="46" t="s">
        <v>1275</v>
      </c>
      <c r="W146" s="46" t="s">
        <v>1401</v>
      </c>
      <c r="X146" s="46" t="s">
        <v>1317</v>
      </c>
      <c r="Y146" s="46" t="s">
        <v>1407</v>
      </c>
    </row>
    <row r="147" customFormat="false" ht="15" hidden="false" customHeight="false" outlineLevel="0" collapsed="false">
      <c r="A147" s="46" t="s">
        <v>1408</v>
      </c>
      <c r="B147" s="46" t="s">
        <v>1270</v>
      </c>
      <c r="C147" s="46" t="s">
        <v>1311</v>
      </c>
      <c r="D147" s="46" t="s">
        <v>1399</v>
      </c>
      <c r="E147" s="46" t="s">
        <v>1400</v>
      </c>
      <c r="F147" s="46" t="s">
        <v>1314</v>
      </c>
      <c r="G147" s="46"/>
      <c r="H147" s="46" t="s">
        <v>1066</v>
      </c>
      <c r="I147" s="46" t="s">
        <v>1066</v>
      </c>
      <c r="J147" s="46"/>
      <c r="K147" s="46"/>
      <c r="L147" s="46"/>
      <c r="M147" s="46"/>
      <c r="N147" s="46"/>
      <c r="O147" s="46"/>
      <c r="P147" s="46" t="s">
        <v>1324</v>
      </c>
      <c r="Q147" s="46" t="s">
        <v>471</v>
      </c>
      <c r="R147" s="50" t="n">
        <f aca="false">FL_Abb14!E11</f>
        <v>137</v>
      </c>
      <c r="S147" s="46" t="s">
        <v>1406</v>
      </c>
      <c r="T147" s="46" t="s">
        <v>37</v>
      </c>
      <c r="U147" s="46" t="s">
        <v>1389</v>
      </c>
      <c r="V147" s="46" t="s">
        <v>1275</v>
      </c>
      <c r="W147" s="46" t="s">
        <v>1401</v>
      </c>
      <c r="X147" s="46" t="s">
        <v>1317</v>
      </c>
      <c r="Y147" s="46" t="s">
        <v>1409</v>
      </c>
    </row>
    <row r="148" customFormat="false" ht="15" hidden="false" customHeight="false" outlineLevel="0" collapsed="false">
      <c r="A148" s="46" t="s">
        <v>1410</v>
      </c>
      <c r="B148" s="46" t="s">
        <v>1270</v>
      </c>
      <c r="C148" s="46" t="s">
        <v>1311</v>
      </c>
      <c r="D148" s="46" t="s">
        <v>1399</v>
      </c>
      <c r="E148" s="46" t="s">
        <v>1400</v>
      </c>
      <c r="F148" s="46" t="s">
        <v>1314</v>
      </c>
      <c r="G148" s="46"/>
      <c r="H148" s="46" t="s">
        <v>1066</v>
      </c>
      <c r="I148" s="46" t="s">
        <v>1066</v>
      </c>
      <c r="J148" s="46"/>
      <c r="K148" s="46"/>
      <c r="L148" s="46"/>
      <c r="M148" s="46"/>
      <c r="N148" s="46"/>
      <c r="O148" s="46"/>
      <c r="P148" s="46" t="s">
        <v>1327</v>
      </c>
      <c r="Q148" s="46" t="s">
        <v>471</v>
      </c>
      <c r="R148" s="50" t="n">
        <f aca="false">FL_Abb14!F11</f>
        <v>138</v>
      </c>
      <c r="S148" s="46" t="s">
        <v>1411</v>
      </c>
      <c r="T148" s="46" t="s">
        <v>37</v>
      </c>
      <c r="U148" s="46" t="s">
        <v>1389</v>
      </c>
      <c r="V148" s="46" t="s">
        <v>1275</v>
      </c>
      <c r="W148" s="46" t="s">
        <v>1401</v>
      </c>
      <c r="X148" s="46" t="s">
        <v>1317</v>
      </c>
      <c r="Y148" s="46" t="s">
        <v>1412</v>
      </c>
    </row>
    <row r="149" customFormat="false" ht="15" hidden="false" customHeight="false" outlineLevel="0" collapsed="false">
      <c r="A149" s="46" t="s">
        <v>1413</v>
      </c>
      <c r="B149" s="46" t="s">
        <v>1270</v>
      </c>
      <c r="C149" s="46" t="s">
        <v>1311</v>
      </c>
      <c r="D149" s="46" t="s">
        <v>1414</v>
      </c>
      <c r="E149" s="46" t="s">
        <v>1415</v>
      </c>
      <c r="F149" s="46" t="s">
        <v>1314</v>
      </c>
      <c r="G149" s="46"/>
      <c r="H149" s="46" t="s">
        <v>1066</v>
      </c>
      <c r="I149" s="46" t="s">
        <v>1066</v>
      </c>
      <c r="J149" s="46"/>
      <c r="K149" s="46"/>
      <c r="L149" s="46"/>
      <c r="M149" s="46"/>
      <c r="N149" s="46"/>
      <c r="O149" s="46"/>
      <c r="P149" s="46" t="s">
        <v>1315</v>
      </c>
      <c r="Q149" s="46" t="s">
        <v>471</v>
      </c>
      <c r="R149" s="50" t="n">
        <f aca="false">FL_Abb14!B12</f>
        <v>100</v>
      </c>
      <c r="S149" s="46" t="s">
        <v>1166</v>
      </c>
      <c r="T149" s="46" t="s">
        <v>39</v>
      </c>
      <c r="U149" s="46" t="s">
        <v>39</v>
      </c>
      <c r="V149" s="46" t="s">
        <v>1275</v>
      </c>
      <c r="W149" s="46" t="s">
        <v>1416</v>
      </c>
      <c r="X149" s="46" t="s">
        <v>1317</v>
      </c>
      <c r="Y149" s="46" t="s">
        <v>1417</v>
      </c>
    </row>
    <row r="150" customFormat="false" ht="15" hidden="false" customHeight="false" outlineLevel="0" collapsed="false">
      <c r="A150" s="46" t="s">
        <v>1418</v>
      </c>
      <c r="B150" s="46" t="s">
        <v>1270</v>
      </c>
      <c r="C150" s="46" t="s">
        <v>1311</v>
      </c>
      <c r="D150" s="46" t="s">
        <v>1414</v>
      </c>
      <c r="E150" s="46" t="s">
        <v>1415</v>
      </c>
      <c r="F150" s="46" t="s">
        <v>1314</v>
      </c>
      <c r="G150" s="46"/>
      <c r="H150" s="46" t="s">
        <v>1066</v>
      </c>
      <c r="I150" s="46" t="s">
        <v>1066</v>
      </c>
      <c r="J150" s="46"/>
      <c r="K150" s="46"/>
      <c r="L150" s="46"/>
      <c r="M150" s="46"/>
      <c r="N150" s="46"/>
      <c r="O150" s="46"/>
      <c r="P150" s="46" t="s">
        <v>1216</v>
      </c>
      <c r="Q150" s="46" t="s">
        <v>471</v>
      </c>
      <c r="R150" s="50" t="n">
        <f aca="false">FL_Abb14!C12</f>
        <v>97</v>
      </c>
      <c r="S150" s="46" t="s">
        <v>1419</v>
      </c>
      <c r="T150" s="46" t="s">
        <v>37</v>
      </c>
      <c r="U150" s="46" t="s">
        <v>1389</v>
      </c>
      <c r="V150" s="46" t="s">
        <v>1275</v>
      </c>
      <c r="W150" s="46" t="s">
        <v>1416</v>
      </c>
      <c r="X150" s="46" t="s">
        <v>1317</v>
      </c>
      <c r="Y150" s="46" t="s">
        <v>1309</v>
      </c>
    </row>
    <row r="151" customFormat="false" ht="15" hidden="false" customHeight="false" outlineLevel="0" collapsed="false">
      <c r="A151" s="46" t="s">
        <v>1420</v>
      </c>
      <c r="B151" s="46" t="s">
        <v>1270</v>
      </c>
      <c r="C151" s="46" t="s">
        <v>1311</v>
      </c>
      <c r="D151" s="46" t="s">
        <v>1414</v>
      </c>
      <c r="E151" s="46" t="s">
        <v>1415</v>
      </c>
      <c r="F151" s="46" t="s">
        <v>1314</v>
      </c>
      <c r="G151" s="46"/>
      <c r="H151" s="46" t="s">
        <v>1066</v>
      </c>
      <c r="I151" s="46" t="s">
        <v>1066</v>
      </c>
      <c r="J151" s="46"/>
      <c r="K151" s="46"/>
      <c r="L151" s="46"/>
      <c r="M151" s="46"/>
      <c r="N151" s="46"/>
      <c r="O151" s="46"/>
      <c r="P151" s="46" t="s">
        <v>1273</v>
      </c>
      <c r="Q151" s="46" t="s">
        <v>471</v>
      </c>
      <c r="R151" s="50" t="n">
        <f aca="false">FL_Abb14!D12</f>
        <v>138</v>
      </c>
      <c r="S151" s="46" t="s">
        <v>1411</v>
      </c>
      <c r="T151" s="46" t="s">
        <v>37</v>
      </c>
      <c r="U151" s="46" t="s">
        <v>1389</v>
      </c>
      <c r="V151" s="46" t="s">
        <v>1275</v>
      </c>
      <c r="W151" s="46" t="s">
        <v>1416</v>
      </c>
      <c r="X151" s="46" t="s">
        <v>1317</v>
      </c>
      <c r="Y151" s="46" t="s">
        <v>1421</v>
      </c>
    </row>
    <row r="152" customFormat="false" ht="15" hidden="false" customHeight="false" outlineLevel="0" collapsed="false">
      <c r="A152" s="46" t="s">
        <v>1422</v>
      </c>
      <c r="B152" s="46" t="s">
        <v>1270</v>
      </c>
      <c r="C152" s="46" t="s">
        <v>1311</v>
      </c>
      <c r="D152" s="46" t="s">
        <v>1414</v>
      </c>
      <c r="E152" s="46" t="s">
        <v>1415</v>
      </c>
      <c r="F152" s="46" t="s">
        <v>1314</v>
      </c>
      <c r="G152" s="46"/>
      <c r="H152" s="46" t="s">
        <v>1066</v>
      </c>
      <c r="I152" s="46" t="s">
        <v>1066</v>
      </c>
      <c r="J152" s="46"/>
      <c r="K152" s="46"/>
      <c r="L152" s="46"/>
      <c r="M152" s="46"/>
      <c r="N152" s="46"/>
      <c r="O152" s="46"/>
      <c r="P152" s="46" t="s">
        <v>1324</v>
      </c>
      <c r="Q152" s="46" t="s">
        <v>471</v>
      </c>
      <c r="R152" s="50" t="n">
        <f aca="false">FL_Abb14!E12</f>
        <v>138</v>
      </c>
      <c r="S152" s="46" t="s">
        <v>1411</v>
      </c>
      <c r="T152" s="46" t="s">
        <v>37</v>
      </c>
      <c r="U152" s="46" t="s">
        <v>1389</v>
      </c>
      <c r="V152" s="46" t="s">
        <v>1275</v>
      </c>
      <c r="W152" s="46" t="s">
        <v>1416</v>
      </c>
      <c r="X152" s="46" t="s">
        <v>1317</v>
      </c>
      <c r="Y152" s="46" t="s">
        <v>1423</v>
      </c>
    </row>
    <row r="153" customFormat="false" ht="15" hidden="false" customHeight="false" outlineLevel="0" collapsed="false">
      <c r="A153" s="46" t="s">
        <v>1424</v>
      </c>
      <c r="B153" s="46" t="s">
        <v>1270</v>
      </c>
      <c r="C153" s="46" t="s">
        <v>1311</v>
      </c>
      <c r="D153" s="46" t="s">
        <v>1414</v>
      </c>
      <c r="E153" s="46" t="s">
        <v>1415</v>
      </c>
      <c r="F153" s="46" t="s">
        <v>1314</v>
      </c>
      <c r="G153" s="46"/>
      <c r="H153" s="46" t="s">
        <v>1066</v>
      </c>
      <c r="I153" s="46" t="s">
        <v>1066</v>
      </c>
      <c r="J153" s="46"/>
      <c r="K153" s="46"/>
      <c r="L153" s="46"/>
      <c r="M153" s="46"/>
      <c r="N153" s="46"/>
      <c r="O153" s="46"/>
      <c r="P153" s="46" t="s">
        <v>1327</v>
      </c>
      <c r="Q153" s="46" t="s">
        <v>471</v>
      </c>
      <c r="R153" s="50" t="n">
        <f aca="false">FL_Abb14!F12</f>
        <v>143</v>
      </c>
      <c r="S153" s="46" t="s">
        <v>1425</v>
      </c>
      <c r="T153" s="46" t="s">
        <v>37</v>
      </c>
      <c r="U153" s="46" t="s">
        <v>1389</v>
      </c>
      <c r="V153" s="46" t="s">
        <v>1275</v>
      </c>
      <c r="W153" s="46" t="s">
        <v>1416</v>
      </c>
      <c r="X153" s="46" t="s">
        <v>1317</v>
      </c>
      <c r="Y153" s="46" t="s">
        <v>1426</v>
      </c>
    </row>
    <row r="154" customFormat="false" ht="15" hidden="false" customHeight="false" outlineLevel="0" collapsed="false">
      <c r="A154" s="46" t="s">
        <v>1427</v>
      </c>
      <c r="B154" s="46" t="s">
        <v>1270</v>
      </c>
      <c r="C154" s="46" t="s">
        <v>1311</v>
      </c>
      <c r="D154" s="46" t="s">
        <v>1428</v>
      </c>
      <c r="E154" s="46" t="s">
        <v>1429</v>
      </c>
      <c r="F154" s="46" t="s">
        <v>1314</v>
      </c>
      <c r="G154" s="46"/>
      <c r="H154" s="46" t="s">
        <v>1066</v>
      </c>
      <c r="I154" s="46" t="s">
        <v>1066</v>
      </c>
      <c r="J154" s="46"/>
      <c r="K154" s="46"/>
      <c r="L154" s="46"/>
      <c r="M154" s="46"/>
      <c r="N154" s="46"/>
      <c r="O154" s="46"/>
      <c r="P154" s="46" t="s">
        <v>1315</v>
      </c>
      <c r="Q154" s="46" t="s">
        <v>471</v>
      </c>
      <c r="R154" s="50" t="n">
        <f aca="false">FL_Abb14!B13</f>
        <v>100</v>
      </c>
      <c r="S154" s="46" t="s">
        <v>1166</v>
      </c>
      <c r="T154" s="46" t="s">
        <v>39</v>
      </c>
      <c r="U154" s="46" t="s">
        <v>39</v>
      </c>
      <c r="V154" s="46" t="s">
        <v>1275</v>
      </c>
      <c r="W154" s="46" t="s">
        <v>1430</v>
      </c>
      <c r="X154" s="46" t="s">
        <v>1317</v>
      </c>
      <c r="Y154" s="46" t="s">
        <v>1431</v>
      </c>
    </row>
    <row r="155" customFormat="false" ht="15" hidden="false" customHeight="false" outlineLevel="0" collapsed="false">
      <c r="A155" s="46" t="s">
        <v>1432</v>
      </c>
      <c r="B155" s="46" t="s">
        <v>1270</v>
      </c>
      <c r="C155" s="46" t="s">
        <v>1311</v>
      </c>
      <c r="D155" s="46" t="s">
        <v>1428</v>
      </c>
      <c r="E155" s="46" t="s">
        <v>1429</v>
      </c>
      <c r="F155" s="46" t="s">
        <v>1314</v>
      </c>
      <c r="G155" s="46"/>
      <c r="H155" s="46" t="s">
        <v>1066</v>
      </c>
      <c r="I155" s="46" t="s">
        <v>1066</v>
      </c>
      <c r="J155" s="46"/>
      <c r="K155" s="46"/>
      <c r="L155" s="46"/>
      <c r="M155" s="46"/>
      <c r="N155" s="46"/>
      <c r="O155" s="46"/>
      <c r="P155" s="46" t="s">
        <v>1216</v>
      </c>
      <c r="Q155" s="46" t="s">
        <v>471</v>
      </c>
      <c r="R155" s="50" t="n">
        <f aca="false">FL_Abb14!C13</f>
        <v>100</v>
      </c>
      <c r="S155" s="46" t="s">
        <v>1166</v>
      </c>
      <c r="T155" s="46" t="s">
        <v>37</v>
      </c>
      <c r="U155" s="46" t="s">
        <v>1389</v>
      </c>
      <c r="V155" s="46" t="s">
        <v>1275</v>
      </c>
      <c r="W155" s="46" t="s">
        <v>1430</v>
      </c>
      <c r="X155" s="46" t="s">
        <v>1317</v>
      </c>
      <c r="Y155" s="46" t="s">
        <v>1433</v>
      </c>
    </row>
    <row r="156" customFormat="false" ht="15" hidden="false" customHeight="false" outlineLevel="0" collapsed="false">
      <c r="A156" s="46" t="s">
        <v>1434</v>
      </c>
      <c r="B156" s="46" t="s">
        <v>1270</v>
      </c>
      <c r="C156" s="46" t="s">
        <v>1311</v>
      </c>
      <c r="D156" s="46" t="s">
        <v>1428</v>
      </c>
      <c r="E156" s="46" t="s">
        <v>1429</v>
      </c>
      <c r="F156" s="46" t="s">
        <v>1314</v>
      </c>
      <c r="G156" s="46"/>
      <c r="H156" s="46" t="s">
        <v>1066</v>
      </c>
      <c r="I156" s="46" t="s">
        <v>1066</v>
      </c>
      <c r="J156" s="46"/>
      <c r="K156" s="46"/>
      <c r="L156" s="46"/>
      <c r="M156" s="46"/>
      <c r="N156" s="46"/>
      <c r="O156" s="46"/>
      <c r="P156" s="46" t="s">
        <v>1273</v>
      </c>
      <c r="Q156" s="46" t="s">
        <v>471</v>
      </c>
      <c r="R156" s="50" t="n">
        <f aca="false">FL_Abb14!D13</f>
        <v>110</v>
      </c>
      <c r="S156" s="46" t="s">
        <v>1381</v>
      </c>
      <c r="T156" s="46" t="s">
        <v>37</v>
      </c>
      <c r="U156" s="46" t="s">
        <v>1389</v>
      </c>
      <c r="V156" s="46" t="s">
        <v>1275</v>
      </c>
      <c r="W156" s="46" t="s">
        <v>1430</v>
      </c>
      <c r="X156" s="46" t="s">
        <v>1317</v>
      </c>
      <c r="Y156" s="46" t="s">
        <v>1435</v>
      </c>
    </row>
    <row r="157" customFormat="false" ht="15" hidden="false" customHeight="false" outlineLevel="0" collapsed="false">
      <c r="A157" s="46" t="s">
        <v>1436</v>
      </c>
      <c r="B157" s="46" t="s">
        <v>1270</v>
      </c>
      <c r="C157" s="46" t="s">
        <v>1311</v>
      </c>
      <c r="D157" s="46" t="s">
        <v>1428</v>
      </c>
      <c r="E157" s="46" t="s">
        <v>1429</v>
      </c>
      <c r="F157" s="46" t="s">
        <v>1314</v>
      </c>
      <c r="G157" s="46"/>
      <c r="H157" s="46" t="s">
        <v>1066</v>
      </c>
      <c r="I157" s="46" t="s">
        <v>1066</v>
      </c>
      <c r="J157" s="46"/>
      <c r="K157" s="46"/>
      <c r="L157" s="46"/>
      <c r="M157" s="46"/>
      <c r="N157" s="46"/>
      <c r="O157" s="46"/>
      <c r="P157" s="46" t="s">
        <v>1324</v>
      </c>
      <c r="Q157" s="46" t="s">
        <v>471</v>
      </c>
      <c r="R157" s="50" t="n">
        <f aca="false">FL_Abb14!E13</f>
        <v>112</v>
      </c>
      <c r="S157" s="46" t="s">
        <v>1437</v>
      </c>
      <c r="T157" s="46" t="s">
        <v>37</v>
      </c>
      <c r="U157" s="46" t="s">
        <v>1389</v>
      </c>
      <c r="V157" s="46" t="s">
        <v>1275</v>
      </c>
      <c r="W157" s="46" t="s">
        <v>1430</v>
      </c>
      <c r="X157" s="46" t="s">
        <v>1317</v>
      </c>
      <c r="Y157" s="46" t="s">
        <v>1438</v>
      </c>
    </row>
    <row r="158" customFormat="false" ht="15" hidden="false" customHeight="false" outlineLevel="0" collapsed="false">
      <c r="A158" s="46" t="s">
        <v>1439</v>
      </c>
      <c r="B158" s="46" t="s">
        <v>1270</v>
      </c>
      <c r="C158" s="46" t="s">
        <v>1311</v>
      </c>
      <c r="D158" s="46" t="s">
        <v>1428</v>
      </c>
      <c r="E158" s="46" t="s">
        <v>1429</v>
      </c>
      <c r="F158" s="46" t="s">
        <v>1314</v>
      </c>
      <c r="G158" s="46"/>
      <c r="H158" s="46" t="s">
        <v>1066</v>
      </c>
      <c r="I158" s="46" t="s">
        <v>1066</v>
      </c>
      <c r="J158" s="46"/>
      <c r="K158" s="46"/>
      <c r="L158" s="46"/>
      <c r="M158" s="46"/>
      <c r="N158" s="46"/>
      <c r="O158" s="46"/>
      <c r="P158" s="46" t="s">
        <v>1327</v>
      </c>
      <c r="Q158" s="46" t="s">
        <v>471</v>
      </c>
      <c r="R158" s="50" t="n">
        <f aca="false">FL_Abb14!F13</f>
        <v>115</v>
      </c>
      <c r="S158" s="46" t="s">
        <v>1440</v>
      </c>
      <c r="T158" s="46" t="s">
        <v>37</v>
      </c>
      <c r="U158" s="46" t="s">
        <v>1389</v>
      </c>
      <c r="V158" s="46" t="s">
        <v>1275</v>
      </c>
      <c r="W158" s="46" t="s">
        <v>1430</v>
      </c>
      <c r="X158" s="46" t="s">
        <v>1317</v>
      </c>
      <c r="Y158" s="46" t="s">
        <v>1441</v>
      </c>
    </row>
    <row r="159" customFormat="false" ht="15" hidden="false" customHeight="false" outlineLevel="0" collapsed="false">
      <c r="A159" s="46" t="s">
        <v>1442</v>
      </c>
      <c r="B159" s="46" t="s">
        <v>1270</v>
      </c>
      <c r="C159" s="46" t="s">
        <v>1311</v>
      </c>
      <c r="D159" s="46" t="s">
        <v>1443</v>
      </c>
      <c r="E159" s="46" t="s">
        <v>1444</v>
      </c>
      <c r="F159" s="46" t="s">
        <v>1314</v>
      </c>
      <c r="G159" s="46"/>
      <c r="H159" s="46" t="s">
        <v>1066</v>
      </c>
      <c r="I159" s="46" t="s">
        <v>1066</v>
      </c>
      <c r="J159" s="46"/>
      <c r="K159" s="46"/>
      <c r="L159" s="46"/>
      <c r="M159" s="46"/>
      <c r="N159" s="46"/>
      <c r="O159" s="46"/>
      <c r="P159" s="46" t="s">
        <v>1315</v>
      </c>
      <c r="Q159" s="46" t="s">
        <v>471</v>
      </c>
      <c r="R159" s="50" t="n">
        <f aca="false">FL_Abb14!B14</f>
        <v>100</v>
      </c>
      <c r="S159" s="46" t="s">
        <v>1166</v>
      </c>
      <c r="T159" s="46" t="s">
        <v>39</v>
      </c>
      <c r="U159" s="46" t="s">
        <v>39</v>
      </c>
      <c r="V159" s="46" t="s">
        <v>1275</v>
      </c>
      <c r="W159" s="46" t="s">
        <v>1445</v>
      </c>
      <c r="X159" s="46" t="s">
        <v>1317</v>
      </c>
      <c r="Y159" s="46" t="s">
        <v>1446</v>
      </c>
    </row>
    <row r="160" customFormat="false" ht="15" hidden="false" customHeight="false" outlineLevel="0" collapsed="false">
      <c r="A160" s="46" t="s">
        <v>1447</v>
      </c>
      <c r="B160" s="46" t="s">
        <v>1270</v>
      </c>
      <c r="C160" s="46" t="s">
        <v>1311</v>
      </c>
      <c r="D160" s="46" t="s">
        <v>1443</v>
      </c>
      <c r="E160" s="46" t="s">
        <v>1444</v>
      </c>
      <c r="F160" s="46" t="s">
        <v>1314</v>
      </c>
      <c r="G160" s="46"/>
      <c r="H160" s="46" t="s">
        <v>1066</v>
      </c>
      <c r="I160" s="46" t="s">
        <v>1066</v>
      </c>
      <c r="J160" s="46"/>
      <c r="K160" s="46"/>
      <c r="L160" s="46"/>
      <c r="M160" s="46"/>
      <c r="N160" s="46"/>
      <c r="O160" s="46"/>
      <c r="P160" s="46" t="s">
        <v>1216</v>
      </c>
      <c r="Q160" s="46" t="s">
        <v>471</v>
      </c>
      <c r="R160" s="50" t="n">
        <f aca="false">FL_Abb14!C14</f>
        <v>100</v>
      </c>
      <c r="S160" s="46" t="s">
        <v>1166</v>
      </c>
      <c r="T160" s="46" t="s">
        <v>37</v>
      </c>
      <c r="U160" s="46" t="s">
        <v>1389</v>
      </c>
      <c r="V160" s="46" t="s">
        <v>1275</v>
      </c>
      <c r="W160" s="46" t="s">
        <v>1445</v>
      </c>
      <c r="X160" s="46" t="s">
        <v>1317</v>
      </c>
      <c r="Y160" s="46" t="s">
        <v>1448</v>
      </c>
    </row>
    <row r="161" customFormat="false" ht="15" hidden="false" customHeight="false" outlineLevel="0" collapsed="false">
      <c r="A161" s="46" t="s">
        <v>1449</v>
      </c>
      <c r="B161" s="46" t="s">
        <v>1270</v>
      </c>
      <c r="C161" s="46" t="s">
        <v>1311</v>
      </c>
      <c r="D161" s="46" t="s">
        <v>1443</v>
      </c>
      <c r="E161" s="46" t="s">
        <v>1444</v>
      </c>
      <c r="F161" s="46" t="s">
        <v>1314</v>
      </c>
      <c r="G161" s="46"/>
      <c r="H161" s="46" t="s">
        <v>1066</v>
      </c>
      <c r="I161" s="46" t="s">
        <v>1066</v>
      </c>
      <c r="J161" s="46"/>
      <c r="K161" s="46"/>
      <c r="L161" s="46"/>
      <c r="M161" s="46"/>
      <c r="N161" s="46"/>
      <c r="O161" s="46"/>
      <c r="P161" s="46" t="s">
        <v>1273</v>
      </c>
      <c r="Q161" s="46" t="s">
        <v>471</v>
      </c>
      <c r="R161" s="50" t="n">
        <f aca="false">FL_Abb14!D14</f>
        <v>104</v>
      </c>
      <c r="S161" s="46" t="s">
        <v>1450</v>
      </c>
      <c r="T161" s="46" t="s">
        <v>37</v>
      </c>
      <c r="U161" s="46" t="s">
        <v>1389</v>
      </c>
      <c r="V161" s="46" t="s">
        <v>1275</v>
      </c>
      <c r="W161" s="46" t="s">
        <v>1445</v>
      </c>
      <c r="X161" s="46" t="s">
        <v>1317</v>
      </c>
      <c r="Y161" s="46" t="s">
        <v>1451</v>
      </c>
    </row>
    <row r="162" customFormat="false" ht="15" hidden="false" customHeight="false" outlineLevel="0" collapsed="false">
      <c r="A162" s="46" t="s">
        <v>1452</v>
      </c>
      <c r="B162" s="46" t="s">
        <v>1270</v>
      </c>
      <c r="C162" s="46" t="s">
        <v>1311</v>
      </c>
      <c r="D162" s="46" t="s">
        <v>1443</v>
      </c>
      <c r="E162" s="46" t="s">
        <v>1444</v>
      </c>
      <c r="F162" s="46" t="s">
        <v>1314</v>
      </c>
      <c r="G162" s="46"/>
      <c r="H162" s="46" t="s">
        <v>1066</v>
      </c>
      <c r="I162" s="46" t="s">
        <v>1066</v>
      </c>
      <c r="J162" s="46"/>
      <c r="K162" s="46"/>
      <c r="L162" s="46"/>
      <c r="M162" s="46"/>
      <c r="N162" s="46"/>
      <c r="O162" s="46"/>
      <c r="P162" s="46" t="s">
        <v>1324</v>
      </c>
      <c r="Q162" s="46" t="s">
        <v>471</v>
      </c>
      <c r="R162" s="50" t="n">
        <f aca="false">FL_Abb14!E14</f>
        <v>104</v>
      </c>
      <c r="S162" s="46" t="s">
        <v>1450</v>
      </c>
      <c r="T162" s="46" t="s">
        <v>37</v>
      </c>
      <c r="U162" s="46" t="s">
        <v>1389</v>
      </c>
      <c r="V162" s="46" t="s">
        <v>1275</v>
      </c>
      <c r="W162" s="46" t="s">
        <v>1445</v>
      </c>
      <c r="X162" s="46" t="s">
        <v>1317</v>
      </c>
      <c r="Y162" s="46" t="s">
        <v>1453</v>
      </c>
    </row>
    <row r="163" customFormat="false" ht="15" hidden="false" customHeight="false" outlineLevel="0" collapsed="false">
      <c r="A163" s="46" t="s">
        <v>1454</v>
      </c>
      <c r="B163" s="46" t="s">
        <v>1270</v>
      </c>
      <c r="C163" s="46" t="s">
        <v>1311</v>
      </c>
      <c r="D163" s="46" t="s">
        <v>1443</v>
      </c>
      <c r="E163" s="46" t="s">
        <v>1444</v>
      </c>
      <c r="F163" s="46" t="s">
        <v>1314</v>
      </c>
      <c r="G163" s="46"/>
      <c r="H163" s="46" t="s">
        <v>1066</v>
      </c>
      <c r="I163" s="46" t="s">
        <v>1066</v>
      </c>
      <c r="J163" s="46"/>
      <c r="K163" s="46"/>
      <c r="L163" s="46"/>
      <c r="M163" s="46"/>
      <c r="N163" s="46"/>
      <c r="O163" s="46"/>
      <c r="P163" s="46" t="s">
        <v>1327</v>
      </c>
      <c r="Q163" s="46" t="s">
        <v>471</v>
      </c>
      <c r="R163" s="50" t="n">
        <f aca="false">FL_Abb14!F14</f>
        <v>104</v>
      </c>
      <c r="S163" s="46" t="s">
        <v>1450</v>
      </c>
      <c r="T163" s="46" t="s">
        <v>37</v>
      </c>
      <c r="U163" s="46" t="s">
        <v>1389</v>
      </c>
      <c r="V163" s="46" t="s">
        <v>1275</v>
      </c>
      <c r="W163" s="46" t="s">
        <v>1445</v>
      </c>
      <c r="X163" s="46" t="s">
        <v>1317</v>
      </c>
      <c r="Y163" s="46" t="s">
        <v>1455</v>
      </c>
    </row>
    <row r="164" customFormat="false" ht="15" hidden="false" customHeight="false" outlineLevel="0" collapsed="false">
      <c r="A164" s="46" t="s">
        <v>1456</v>
      </c>
      <c r="B164" s="46" t="s">
        <v>1270</v>
      </c>
      <c r="C164" s="46" t="s">
        <v>1311</v>
      </c>
      <c r="D164" s="46" t="s">
        <v>1457</v>
      </c>
      <c r="E164" s="46" t="s">
        <v>1458</v>
      </c>
      <c r="F164" s="46" t="s">
        <v>1314</v>
      </c>
      <c r="G164" s="46"/>
      <c r="H164" s="46" t="s">
        <v>1066</v>
      </c>
      <c r="I164" s="46" t="s">
        <v>1066</v>
      </c>
      <c r="J164" s="46"/>
      <c r="K164" s="46"/>
      <c r="L164" s="46"/>
      <c r="M164" s="46"/>
      <c r="N164" s="46"/>
      <c r="O164" s="46"/>
      <c r="P164" s="46" t="s">
        <v>1315</v>
      </c>
      <c r="Q164" s="46" t="s">
        <v>471</v>
      </c>
      <c r="R164" s="50" t="n">
        <f aca="false">FL_Abb14!B15</f>
        <v>100</v>
      </c>
      <c r="S164" s="46" t="s">
        <v>1166</v>
      </c>
      <c r="T164" s="46" t="s">
        <v>39</v>
      </c>
      <c r="U164" s="46" t="s">
        <v>39</v>
      </c>
      <c r="V164" s="46" t="s">
        <v>1275</v>
      </c>
      <c r="W164" s="46" t="s">
        <v>1459</v>
      </c>
      <c r="X164" s="46" t="s">
        <v>1317</v>
      </c>
      <c r="Y164" s="46" t="s">
        <v>1460</v>
      </c>
    </row>
    <row r="165" customFormat="false" ht="15" hidden="false" customHeight="false" outlineLevel="0" collapsed="false">
      <c r="A165" s="46" t="s">
        <v>1461</v>
      </c>
      <c r="B165" s="46" t="s">
        <v>1270</v>
      </c>
      <c r="C165" s="46" t="s">
        <v>1311</v>
      </c>
      <c r="D165" s="46" t="s">
        <v>1457</v>
      </c>
      <c r="E165" s="46" t="s">
        <v>1458</v>
      </c>
      <c r="F165" s="46" t="s">
        <v>1314</v>
      </c>
      <c r="G165" s="46"/>
      <c r="H165" s="46" t="s">
        <v>1066</v>
      </c>
      <c r="I165" s="46" t="s">
        <v>1066</v>
      </c>
      <c r="J165" s="46"/>
      <c r="K165" s="46"/>
      <c r="L165" s="46"/>
      <c r="M165" s="46"/>
      <c r="N165" s="46"/>
      <c r="O165" s="46"/>
      <c r="P165" s="46" t="s">
        <v>1216</v>
      </c>
      <c r="Q165" s="46" t="s">
        <v>471</v>
      </c>
      <c r="R165" s="50" t="n">
        <f aca="false">FL_Abb14!C15</f>
        <v>100</v>
      </c>
      <c r="S165" s="46" t="s">
        <v>1166</v>
      </c>
      <c r="T165" s="46" t="s">
        <v>37</v>
      </c>
      <c r="U165" s="46" t="s">
        <v>1389</v>
      </c>
      <c r="V165" s="46" t="s">
        <v>1275</v>
      </c>
      <c r="W165" s="46" t="s">
        <v>1459</v>
      </c>
      <c r="X165" s="46" t="s">
        <v>1317</v>
      </c>
      <c r="Y165" s="46" t="s">
        <v>1462</v>
      </c>
    </row>
    <row r="166" customFormat="false" ht="15" hidden="false" customHeight="false" outlineLevel="0" collapsed="false">
      <c r="A166" s="46" t="s">
        <v>1463</v>
      </c>
      <c r="B166" s="46" t="s">
        <v>1270</v>
      </c>
      <c r="C166" s="46" t="s">
        <v>1311</v>
      </c>
      <c r="D166" s="46" t="s">
        <v>1457</v>
      </c>
      <c r="E166" s="46" t="s">
        <v>1458</v>
      </c>
      <c r="F166" s="46" t="s">
        <v>1314</v>
      </c>
      <c r="G166" s="46"/>
      <c r="H166" s="46" t="s">
        <v>1066</v>
      </c>
      <c r="I166" s="46" t="s">
        <v>1066</v>
      </c>
      <c r="J166" s="46"/>
      <c r="K166" s="46"/>
      <c r="L166" s="46"/>
      <c r="M166" s="46"/>
      <c r="N166" s="46"/>
      <c r="O166" s="46"/>
      <c r="P166" s="46" t="s">
        <v>1273</v>
      </c>
      <c r="Q166" s="46" t="s">
        <v>471</v>
      </c>
      <c r="R166" s="50" t="n">
        <f aca="false">FL_Abb14!D15</f>
        <v>102</v>
      </c>
      <c r="S166" s="46" t="s">
        <v>1464</v>
      </c>
      <c r="T166" s="46" t="s">
        <v>37</v>
      </c>
      <c r="U166" s="46" t="s">
        <v>1389</v>
      </c>
      <c r="V166" s="46" t="s">
        <v>1275</v>
      </c>
      <c r="W166" s="46" t="s">
        <v>1459</v>
      </c>
      <c r="X166" s="46" t="s">
        <v>1317</v>
      </c>
      <c r="Y166" s="46" t="s">
        <v>1465</v>
      </c>
    </row>
    <row r="167" customFormat="false" ht="15" hidden="false" customHeight="false" outlineLevel="0" collapsed="false">
      <c r="A167" s="46" t="s">
        <v>1466</v>
      </c>
      <c r="B167" s="46" t="s">
        <v>1270</v>
      </c>
      <c r="C167" s="46" t="s">
        <v>1311</v>
      </c>
      <c r="D167" s="46" t="s">
        <v>1457</v>
      </c>
      <c r="E167" s="46" t="s">
        <v>1458</v>
      </c>
      <c r="F167" s="46" t="s">
        <v>1314</v>
      </c>
      <c r="G167" s="46"/>
      <c r="H167" s="46" t="s">
        <v>1066</v>
      </c>
      <c r="I167" s="46" t="s">
        <v>1066</v>
      </c>
      <c r="J167" s="46"/>
      <c r="K167" s="46"/>
      <c r="L167" s="46"/>
      <c r="M167" s="46"/>
      <c r="N167" s="46"/>
      <c r="O167" s="46"/>
      <c r="P167" s="46" t="s">
        <v>1324</v>
      </c>
      <c r="Q167" s="46" t="s">
        <v>471</v>
      </c>
      <c r="R167" s="50" t="n">
        <f aca="false">FL_Abb14!E15</f>
        <v>102</v>
      </c>
      <c r="S167" s="46" t="s">
        <v>1464</v>
      </c>
      <c r="T167" s="46" t="s">
        <v>37</v>
      </c>
      <c r="U167" s="46" t="s">
        <v>1389</v>
      </c>
      <c r="V167" s="46" t="s">
        <v>1275</v>
      </c>
      <c r="W167" s="46" t="s">
        <v>1459</v>
      </c>
      <c r="X167" s="46" t="s">
        <v>1317</v>
      </c>
      <c r="Y167" s="46" t="s">
        <v>1467</v>
      </c>
    </row>
    <row r="168" customFormat="false" ht="15" hidden="false" customHeight="false" outlineLevel="0" collapsed="false">
      <c r="A168" s="46" t="s">
        <v>1468</v>
      </c>
      <c r="B168" s="46" t="s">
        <v>1270</v>
      </c>
      <c r="C168" s="46" t="s">
        <v>1311</v>
      </c>
      <c r="D168" s="46" t="s">
        <v>1457</v>
      </c>
      <c r="E168" s="46" t="s">
        <v>1458</v>
      </c>
      <c r="F168" s="46" t="s">
        <v>1314</v>
      </c>
      <c r="G168" s="46"/>
      <c r="H168" s="46" t="s">
        <v>1066</v>
      </c>
      <c r="I168" s="46" t="s">
        <v>1066</v>
      </c>
      <c r="J168" s="46"/>
      <c r="K168" s="46"/>
      <c r="L168" s="46"/>
      <c r="M168" s="46"/>
      <c r="N168" s="46"/>
      <c r="O168" s="46"/>
      <c r="P168" s="46" t="s">
        <v>1327</v>
      </c>
      <c r="Q168" s="46" t="s">
        <v>471</v>
      </c>
      <c r="R168" s="50" t="n">
        <f aca="false">FL_Abb14!F15</f>
        <v>104</v>
      </c>
      <c r="S168" s="46" t="s">
        <v>1450</v>
      </c>
      <c r="T168" s="46" t="s">
        <v>37</v>
      </c>
      <c r="U168" s="46" t="s">
        <v>1389</v>
      </c>
      <c r="V168" s="46" t="s">
        <v>1275</v>
      </c>
      <c r="W168" s="46" t="s">
        <v>1459</v>
      </c>
      <c r="X168" s="46" t="s">
        <v>1317</v>
      </c>
      <c r="Y168" s="46" t="s">
        <v>1469</v>
      </c>
    </row>
    <row r="169" customFormat="false" ht="15" hidden="false" customHeight="false" outlineLevel="0" collapsed="false">
      <c r="A169" s="46" t="s">
        <v>1470</v>
      </c>
      <c r="B169" s="46" t="s">
        <v>1270</v>
      </c>
      <c r="C169" s="46" t="s">
        <v>1471</v>
      </c>
      <c r="D169" s="46" t="s">
        <v>536</v>
      </c>
      <c r="E169" s="46" t="s">
        <v>1472</v>
      </c>
      <c r="F169" s="46" t="s">
        <v>1473</v>
      </c>
      <c r="G169" s="46"/>
      <c r="H169" s="46" t="s">
        <v>1066</v>
      </c>
      <c r="I169" s="46" t="s">
        <v>1066</v>
      </c>
      <c r="J169" s="46"/>
      <c r="K169" s="46"/>
      <c r="L169" s="46"/>
      <c r="M169" s="46"/>
      <c r="N169" s="46"/>
      <c r="O169" s="46"/>
      <c r="P169" s="46" t="s">
        <v>1315</v>
      </c>
      <c r="Q169" s="46" t="s">
        <v>471</v>
      </c>
      <c r="R169" s="50" t="n">
        <f aca="false">FL_Abb15_17!D5</f>
        <v>57500</v>
      </c>
      <c r="S169" s="46" t="s">
        <v>1474</v>
      </c>
      <c r="T169" s="46" t="s">
        <v>37</v>
      </c>
      <c r="U169" s="46" t="s">
        <v>673</v>
      </c>
      <c r="V169" s="46" t="s">
        <v>1275</v>
      </c>
      <c r="W169" s="46" t="s">
        <v>1475</v>
      </c>
      <c r="X169" s="46" t="s">
        <v>1476</v>
      </c>
      <c r="Y169" s="46" t="s">
        <v>1072</v>
      </c>
    </row>
    <row r="170" customFormat="false" ht="15" hidden="false" customHeight="false" outlineLevel="0" collapsed="false">
      <c r="A170" s="46" t="s">
        <v>1477</v>
      </c>
      <c r="B170" s="46" t="s">
        <v>1270</v>
      </c>
      <c r="C170" s="46" t="s">
        <v>1478</v>
      </c>
      <c r="D170" s="46" t="s">
        <v>536</v>
      </c>
      <c r="E170" s="46" t="s">
        <v>1472</v>
      </c>
      <c r="F170" s="46" t="s">
        <v>1473</v>
      </c>
      <c r="G170" s="46"/>
      <c r="H170" s="46" t="s">
        <v>1066</v>
      </c>
      <c r="I170" s="46" t="s">
        <v>1066</v>
      </c>
      <c r="J170" s="46"/>
      <c r="K170" s="46"/>
      <c r="L170" s="46"/>
      <c r="M170" s="46"/>
      <c r="N170" s="46"/>
      <c r="O170" s="46"/>
      <c r="P170" s="46" t="s">
        <v>1273</v>
      </c>
      <c r="Q170" s="46" t="s">
        <v>471</v>
      </c>
      <c r="R170" s="50" t="n">
        <f aca="false">FL_Abb15_17!E5</f>
        <v>49700</v>
      </c>
      <c r="S170" s="46" t="s">
        <v>1479</v>
      </c>
      <c r="T170" s="46" t="s">
        <v>37</v>
      </c>
      <c r="U170" s="46" t="s">
        <v>673</v>
      </c>
      <c r="V170" s="46" t="s">
        <v>1275</v>
      </c>
      <c r="W170" s="46" t="s">
        <v>1475</v>
      </c>
      <c r="X170" s="46" t="s">
        <v>1476</v>
      </c>
      <c r="Y170" s="46" t="s">
        <v>1075</v>
      </c>
    </row>
    <row r="171" customFormat="false" ht="15" hidden="false" customHeight="false" outlineLevel="0" collapsed="false">
      <c r="A171" s="46" t="s">
        <v>1480</v>
      </c>
      <c r="B171" s="46" t="s">
        <v>1270</v>
      </c>
      <c r="C171" s="46" t="s">
        <v>1481</v>
      </c>
      <c r="D171" s="46" t="s">
        <v>536</v>
      </c>
      <c r="E171" s="46" t="s">
        <v>1472</v>
      </c>
      <c r="F171" s="46" t="s">
        <v>1473</v>
      </c>
      <c r="G171" s="46"/>
      <c r="H171" s="46" t="s">
        <v>1066</v>
      </c>
      <c r="I171" s="46" t="s">
        <v>1066</v>
      </c>
      <c r="J171" s="46"/>
      <c r="K171" s="46"/>
      <c r="L171" s="46"/>
      <c r="M171" s="46"/>
      <c r="N171" s="46"/>
      <c r="O171" s="46"/>
      <c r="P171" s="46" t="s">
        <v>1327</v>
      </c>
      <c r="Q171" s="46" t="s">
        <v>471</v>
      </c>
      <c r="R171" s="50" t="n">
        <f aca="false">FL_Abb15_17!F5</f>
        <v>48400</v>
      </c>
      <c r="S171" s="46" t="s">
        <v>1482</v>
      </c>
      <c r="T171" s="46" t="s">
        <v>37</v>
      </c>
      <c r="U171" s="46" t="s">
        <v>673</v>
      </c>
      <c r="V171" s="46" t="s">
        <v>1275</v>
      </c>
      <c r="W171" s="46" t="s">
        <v>1475</v>
      </c>
      <c r="X171" s="46" t="s">
        <v>1476</v>
      </c>
      <c r="Y171" s="46" t="s">
        <v>1328</v>
      </c>
    </row>
    <row r="172" customFormat="false" ht="15" hidden="false" customHeight="false" outlineLevel="0" collapsed="false">
      <c r="A172" s="46" t="s">
        <v>1483</v>
      </c>
      <c r="B172" s="46" t="s">
        <v>1270</v>
      </c>
      <c r="C172" s="46" t="s">
        <v>1471</v>
      </c>
      <c r="D172" s="46" t="s">
        <v>536</v>
      </c>
      <c r="E172" s="46" t="s">
        <v>1472</v>
      </c>
      <c r="F172" s="46" t="s">
        <v>1473</v>
      </c>
      <c r="G172" s="46"/>
      <c r="H172" s="46" t="s">
        <v>1070</v>
      </c>
      <c r="I172" s="46" t="s">
        <v>1066</v>
      </c>
      <c r="J172" s="46"/>
      <c r="K172" s="46"/>
      <c r="L172" s="46"/>
      <c r="M172" s="46"/>
      <c r="N172" s="46"/>
      <c r="O172" s="46"/>
      <c r="P172" s="46" t="s">
        <v>1315</v>
      </c>
      <c r="Q172" s="46" t="s">
        <v>471</v>
      </c>
      <c r="R172" s="50" t="n">
        <f aca="false">FL_Abb15_17!D6</f>
        <v>59900</v>
      </c>
      <c r="S172" s="46" t="s">
        <v>1484</v>
      </c>
      <c r="T172" s="46" t="s">
        <v>37</v>
      </c>
      <c r="U172" s="46" t="s">
        <v>673</v>
      </c>
      <c r="V172" s="46" t="s">
        <v>1275</v>
      </c>
      <c r="W172" s="46" t="s">
        <v>1475</v>
      </c>
      <c r="X172" s="46" t="s">
        <v>1476</v>
      </c>
      <c r="Y172" s="46" t="s">
        <v>1081</v>
      </c>
    </row>
    <row r="173" customFormat="false" ht="15" hidden="false" customHeight="false" outlineLevel="0" collapsed="false">
      <c r="A173" s="46" t="s">
        <v>1485</v>
      </c>
      <c r="B173" s="46" t="s">
        <v>1270</v>
      </c>
      <c r="C173" s="46" t="s">
        <v>1478</v>
      </c>
      <c r="D173" s="46" t="s">
        <v>536</v>
      </c>
      <c r="E173" s="46" t="s">
        <v>1472</v>
      </c>
      <c r="F173" s="46" t="s">
        <v>1473</v>
      </c>
      <c r="G173" s="46"/>
      <c r="H173" s="46" t="s">
        <v>1070</v>
      </c>
      <c r="I173" s="46" t="s">
        <v>1066</v>
      </c>
      <c r="J173" s="46"/>
      <c r="K173" s="46"/>
      <c r="L173" s="46"/>
      <c r="M173" s="46"/>
      <c r="N173" s="46"/>
      <c r="O173" s="46"/>
      <c r="P173" s="46" t="s">
        <v>1273</v>
      </c>
      <c r="Q173" s="46" t="s">
        <v>471</v>
      </c>
      <c r="R173" s="50" t="n">
        <f aca="false">FL_Abb15_17!E6</f>
        <v>60000</v>
      </c>
      <c r="S173" s="46" t="s">
        <v>1486</v>
      </c>
      <c r="T173" s="46" t="s">
        <v>37</v>
      </c>
      <c r="U173" s="46" t="s">
        <v>673</v>
      </c>
      <c r="V173" s="46" t="s">
        <v>1275</v>
      </c>
      <c r="W173" s="46" t="s">
        <v>1475</v>
      </c>
      <c r="X173" s="46" t="s">
        <v>1476</v>
      </c>
      <c r="Y173" s="46" t="s">
        <v>1083</v>
      </c>
    </row>
    <row r="174" customFormat="false" ht="15" hidden="false" customHeight="false" outlineLevel="0" collapsed="false">
      <c r="A174" s="46" t="s">
        <v>1487</v>
      </c>
      <c r="B174" s="46" t="s">
        <v>1270</v>
      </c>
      <c r="C174" s="46" t="s">
        <v>1481</v>
      </c>
      <c r="D174" s="46" t="s">
        <v>536</v>
      </c>
      <c r="E174" s="46" t="s">
        <v>1472</v>
      </c>
      <c r="F174" s="46" t="s">
        <v>1473</v>
      </c>
      <c r="G174" s="46"/>
      <c r="H174" s="46" t="s">
        <v>1070</v>
      </c>
      <c r="I174" s="46" t="s">
        <v>1066</v>
      </c>
      <c r="J174" s="46"/>
      <c r="K174" s="46"/>
      <c r="L174" s="46"/>
      <c r="M174" s="46"/>
      <c r="N174" s="46"/>
      <c r="O174" s="46"/>
      <c r="P174" s="46" t="s">
        <v>1327</v>
      </c>
      <c r="Q174" s="46" t="s">
        <v>471</v>
      </c>
      <c r="R174" s="50" t="n">
        <f aca="false">FL_Abb15_17!F6</f>
        <v>60200</v>
      </c>
      <c r="S174" s="46" t="s">
        <v>1488</v>
      </c>
      <c r="T174" s="46" t="s">
        <v>37</v>
      </c>
      <c r="U174" s="46" t="s">
        <v>673</v>
      </c>
      <c r="V174" s="46" t="s">
        <v>1275</v>
      </c>
      <c r="W174" s="46" t="s">
        <v>1475</v>
      </c>
      <c r="X174" s="46" t="s">
        <v>1476</v>
      </c>
      <c r="Y174" s="46" t="s">
        <v>1341</v>
      </c>
    </row>
    <row r="175" customFormat="false" ht="15" hidden="false" customHeight="false" outlineLevel="0" collapsed="false">
      <c r="A175" s="46" t="s">
        <v>1489</v>
      </c>
      <c r="B175" s="46" t="s">
        <v>1270</v>
      </c>
      <c r="C175" s="46" t="s">
        <v>1471</v>
      </c>
      <c r="D175" s="46" t="s">
        <v>536</v>
      </c>
      <c r="E175" s="46" t="s">
        <v>1472</v>
      </c>
      <c r="F175" s="46" t="s">
        <v>1473</v>
      </c>
      <c r="G175" s="46"/>
      <c r="H175" s="46" t="s">
        <v>1073</v>
      </c>
      <c r="I175" s="46" t="s">
        <v>1066</v>
      </c>
      <c r="J175" s="46"/>
      <c r="K175" s="46"/>
      <c r="L175" s="46"/>
      <c r="M175" s="46"/>
      <c r="N175" s="46"/>
      <c r="O175" s="46"/>
      <c r="P175" s="46" t="s">
        <v>1315</v>
      </c>
      <c r="Q175" s="46" t="s">
        <v>471</v>
      </c>
      <c r="R175" s="50" t="n">
        <f aca="false">FL_Abb15_17!D7</f>
        <v>60100</v>
      </c>
      <c r="S175" s="46" t="s">
        <v>1490</v>
      </c>
      <c r="T175" s="46" t="s">
        <v>37</v>
      </c>
      <c r="U175" s="46" t="s">
        <v>673</v>
      </c>
      <c r="V175" s="46" t="s">
        <v>1275</v>
      </c>
      <c r="W175" s="46" t="s">
        <v>1475</v>
      </c>
      <c r="X175" s="46" t="s">
        <v>1476</v>
      </c>
      <c r="Y175" s="46" t="s">
        <v>1089</v>
      </c>
    </row>
    <row r="176" customFormat="false" ht="15" hidden="false" customHeight="false" outlineLevel="0" collapsed="false">
      <c r="A176" s="46" t="s">
        <v>1491</v>
      </c>
      <c r="B176" s="46" t="s">
        <v>1270</v>
      </c>
      <c r="C176" s="46" t="s">
        <v>1478</v>
      </c>
      <c r="D176" s="46" t="s">
        <v>536</v>
      </c>
      <c r="E176" s="46" t="s">
        <v>1472</v>
      </c>
      <c r="F176" s="46" t="s">
        <v>1473</v>
      </c>
      <c r="G176" s="46"/>
      <c r="H176" s="46" t="s">
        <v>1073</v>
      </c>
      <c r="I176" s="46" t="s">
        <v>1066</v>
      </c>
      <c r="J176" s="46"/>
      <c r="K176" s="46"/>
      <c r="L176" s="46"/>
      <c r="M176" s="46"/>
      <c r="N176" s="46"/>
      <c r="O176" s="46"/>
      <c r="P176" s="46" t="s">
        <v>1273</v>
      </c>
      <c r="Q176" s="46" t="s">
        <v>471</v>
      </c>
      <c r="R176" s="50" t="n">
        <f aca="false">FL_Abb15_17!E7</f>
        <v>60200</v>
      </c>
      <c r="S176" s="46" t="s">
        <v>1488</v>
      </c>
      <c r="T176" s="46" t="s">
        <v>37</v>
      </c>
      <c r="U176" s="46" t="s">
        <v>673</v>
      </c>
      <c r="V176" s="46" t="s">
        <v>1275</v>
      </c>
      <c r="W176" s="46" t="s">
        <v>1475</v>
      </c>
      <c r="X176" s="46" t="s">
        <v>1476</v>
      </c>
      <c r="Y176" s="46" t="s">
        <v>1091</v>
      </c>
    </row>
    <row r="177" customFormat="false" ht="15" hidden="false" customHeight="false" outlineLevel="0" collapsed="false">
      <c r="A177" s="46" t="s">
        <v>1492</v>
      </c>
      <c r="B177" s="46" t="s">
        <v>1270</v>
      </c>
      <c r="C177" s="46" t="s">
        <v>1481</v>
      </c>
      <c r="D177" s="46" t="s">
        <v>536</v>
      </c>
      <c r="E177" s="46" t="s">
        <v>1472</v>
      </c>
      <c r="F177" s="46" t="s">
        <v>1473</v>
      </c>
      <c r="G177" s="46"/>
      <c r="H177" s="46" t="s">
        <v>1073</v>
      </c>
      <c r="I177" s="46" t="s">
        <v>1066</v>
      </c>
      <c r="J177" s="46"/>
      <c r="K177" s="46"/>
      <c r="L177" s="46"/>
      <c r="M177" s="46"/>
      <c r="N177" s="46"/>
      <c r="O177" s="46"/>
      <c r="P177" s="46" t="s">
        <v>1327</v>
      </c>
      <c r="Q177" s="46" t="s">
        <v>471</v>
      </c>
      <c r="R177" s="50" t="n">
        <f aca="false">FL_Abb15_17!F7</f>
        <v>60400</v>
      </c>
      <c r="S177" s="46" t="s">
        <v>1493</v>
      </c>
      <c r="T177" s="46" t="s">
        <v>37</v>
      </c>
      <c r="U177" s="46" t="s">
        <v>673</v>
      </c>
      <c r="V177" s="46" t="s">
        <v>1275</v>
      </c>
      <c r="W177" s="46" t="s">
        <v>1475</v>
      </c>
      <c r="X177" s="46" t="s">
        <v>1476</v>
      </c>
      <c r="Y177" s="46" t="s">
        <v>1355</v>
      </c>
    </row>
    <row r="178" customFormat="false" ht="15" hidden="false" customHeight="false" outlineLevel="0" collapsed="false">
      <c r="A178" s="46" t="s">
        <v>1494</v>
      </c>
      <c r="B178" s="46" t="s">
        <v>1270</v>
      </c>
      <c r="C178" s="46" t="s">
        <v>1471</v>
      </c>
      <c r="D178" s="46" t="s">
        <v>536</v>
      </c>
      <c r="E178" s="46" t="s">
        <v>1472</v>
      </c>
      <c r="F178" s="46" t="s">
        <v>1473</v>
      </c>
      <c r="G178" s="46"/>
      <c r="H178" s="46" t="s">
        <v>1066</v>
      </c>
      <c r="I178" s="46" t="s">
        <v>1070</v>
      </c>
      <c r="J178" s="46"/>
      <c r="K178" s="46"/>
      <c r="L178" s="46"/>
      <c r="M178" s="46"/>
      <c r="N178" s="46"/>
      <c r="O178" s="46"/>
      <c r="P178" s="46" t="s">
        <v>1315</v>
      </c>
      <c r="Q178" s="46" t="s">
        <v>471</v>
      </c>
      <c r="R178" s="50" t="n">
        <f aca="false">FL_Abb15_17!D8</f>
        <v>57600</v>
      </c>
      <c r="S178" s="46" t="s">
        <v>1495</v>
      </c>
      <c r="T178" s="46" t="s">
        <v>37</v>
      </c>
      <c r="U178" s="46" t="s">
        <v>673</v>
      </c>
      <c r="V178" s="46" t="s">
        <v>1275</v>
      </c>
      <c r="W178" s="46" t="s">
        <v>1475</v>
      </c>
      <c r="X178" s="46" t="s">
        <v>1476</v>
      </c>
      <c r="Y178" s="46" t="s">
        <v>1098</v>
      </c>
    </row>
    <row r="179" customFormat="false" ht="15" hidden="false" customHeight="false" outlineLevel="0" collapsed="false">
      <c r="A179" s="46" t="s">
        <v>1496</v>
      </c>
      <c r="B179" s="46" t="s">
        <v>1270</v>
      </c>
      <c r="C179" s="46" t="s">
        <v>1478</v>
      </c>
      <c r="D179" s="46" t="s">
        <v>536</v>
      </c>
      <c r="E179" s="46" t="s">
        <v>1472</v>
      </c>
      <c r="F179" s="46" t="s">
        <v>1473</v>
      </c>
      <c r="G179" s="46"/>
      <c r="H179" s="46" t="s">
        <v>1066</v>
      </c>
      <c r="I179" s="46" t="s">
        <v>1070</v>
      </c>
      <c r="J179" s="46"/>
      <c r="K179" s="46"/>
      <c r="L179" s="46"/>
      <c r="M179" s="46"/>
      <c r="N179" s="46"/>
      <c r="O179" s="46"/>
      <c r="P179" s="46" t="s">
        <v>1273</v>
      </c>
      <c r="Q179" s="46" t="s">
        <v>471</v>
      </c>
      <c r="R179" s="50" t="n">
        <f aca="false">FL_Abb15_17!E8</f>
        <v>48700</v>
      </c>
      <c r="S179" s="46" t="s">
        <v>1497</v>
      </c>
      <c r="T179" s="46" t="s">
        <v>37</v>
      </c>
      <c r="U179" s="46" t="s">
        <v>673</v>
      </c>
      <c r="V179" s="46" t="s">
        <v>1275</v>
      </c>
      <c r="W179" s="46" t="s">
        <v>1475</v>
      </c>
      <c r="X179" s="46" t="s">
        <v>1476</v>
      </c>
      <c r="Y179" s="46" t="s">
        <v>1100</v>
      </c>
    </row>
    <row r="180" customFormat="false" ht="15" hidden="false" customHeight="false" outlineLevel="0" collapsed="false">
      <c r="A180" s="46" t="s">
        <v>1498</v>
      </c>
      <c r="B180" s="46" t="s">
        <v>1270</v>
      </c>
      <c r="C180" s="46" t="s">
        <v>1481</v>
      </c>
      <c r="D180" s="46" t="s">
        <v>536</v>
      </c>
      <c r="E180" s="46" t="s">
        <v>1472</v>
      </c>
      <c r="F180" s="46" t="s">
        <v>1473</v>
      </c>
      <c r="G180" s="46"/>
      <c r="H180" s="46" t="s">
        <v>1066</v>
      </c>
      <c r="I180" s="46" t="s">
        <v>1070</v>
      </c>
      <c r="J180" s="46"/>
      <c r="K180" s="46"/>
      <c r="L180" s="46"/>
      <c r="M180" s="46"/>
      <c r="N180" s="46"/>
      <c r="O180" s="46"/>
      <c r="P180" s="46" t="s">
        <v>1327</v>
      </c>
      <c r="Q180" s="46" t="s">
        <v>471</v>
      </c>
      <c r="R180" s="50" t="n">
        <f aca="false">FL_Abb15_17!F8</f>
        <v>48100</v>
      </c>
      <c r="S180" s="46" t="s">
        <v>1499</v>
      </c>
      <c r="T180" s="46" t="s">
        <v>37</v>
      </c>
      <c r="U180" s="46" t="s">
        <v>673</v>
      </c>
      <c r="V180" s="46" t="s">
        <v>1275</v>
      </c>
      <c r="W180" s="46" t="s">
        <v>1475</v>
      </c>
      <c r="X180" s="46" t="s">
        <v>1476</v>
      </c>
      <c r="Y180" s="46" t="s">
        <v>1368</v>
      </c>
    </row>
    <row r="181" customFormat="false" ht="15" hidden="false" customHeight="false" outlineLevel="0" collapsed="false">
      <c r="A181" s="46" t="s">
        <v>1500</v>
      </c>
      <c r="B181" s="46" t="s">
        <v>1270</v>
      </c>
      <c r="C181" s="46" t="s">
        <v>1471</v>
      </c>
      <c r="D181" s="46" t="s">
        <v>536</v>
      </c>
      <c r="E181" s="46" t="s">
        <v>1472</v>
      </c>
      <c r="F181" s="46" t="s">
        <v>1473</v>
      </c>
      <c r="G181" s="46"/>
      <c r="H181" s="46" t="s">
        <v>1070</v>
      </c>
      <c r="I181" s="46" t="s">
        <v>1070</v>
      </c>
      <c r="J181" s="46"/>
      <c r="K181" s="46"/>
      <c r="L181" s="46"/>
      <c r="M181" s="46"/>
      <c r="N181" s="46"/>
      <c r="O181" s="46"/>
      <c r="P181" s="46" t="s">
        <v>1315</v>
      </c>
      <c r="Q181" s="46" t="s">
        <v>471</v>
      </c>
      <c r="R181" s="50" t="n">
        <f aca="false">FL_Abb15_17!D9</f>
        <v>59900</v>
      </c>
      <c r="S181" s="46" t="s">
        <v>1484</v>
      </c>
      <c r="T181" s="46" t="s">
        <v>37</v>
      </c>
      <c r="U181" s="46" t="s">
        <v>673</v>
      </c>
      <c r="V181" s="46" t="s">
        <v>1275</v>
      </c>
      <c r="W181" s="46" t="s">
        <v>1475</v>
      </c>
      <c r="X181" s="46" t="s">
        <v>1476</v>
      </c>
      <c r="Y181" s="46" t="s">
        <v>1377</v>
      </c>
    </row>
    <row r="182" customFormat="false" ht="15" hidden="false" customHeight="false" outlineLevel="0" collapsed="false">
      <c r="A182" s="46" t="s">
        <v>1501</v>
      </c>
      <c r="B182" s="46" t="s">
        <v>1270</v>
      </c>
      <c r="C182" s="46" t="s">
        <v>1478</v>
      </c>
      <c r="D182" s="46" t="s">
        <v>536</v>
      </c>
      <c r="E182" s="46" t="s">
        <v>1472</v>
      </c>
      <c r="F182" s="46" t="s">
        <v>1473</v>
      </c>
      <c r="G182" s="46"/>
      <c r="H182" s="46" t="s">
        <v>1070</v>
      </c>
      <c r="I182" s="46" t="s">
        <v>1070</v>
      </c>
      <c r="J182" s="46"/>
      <c r="K182" s="46"/>
      <c r="L182" s="46"/>
      <c r="M182" s="46"/>
      <c r="N182" s="46"/>
      <c r="O182" s="46"/>
      <c r="P182" s="46" t="s">
        <v>1273</v>
      </c>
      <c r="Q182" s="46" t="s">
        <v>471</v>
      </c>
      <c r="R182" s="50" t="n">
        <f aca="false">FL_Abb15_17!E9</f>
        <v>60000</v>
      </c>
      <c r="S182" s="46" t="s">
        <v>1486</v>
      </c>
      <c r="T182" s="46" t="s">
        <v>37</v>
      </c>
      <c r="U182" s="46" t="s">
        <v>673</v>
      </c>
      <c r="V182" s="46" t="s">
        <v>1275</v>
      </c>
      <c r="W182" s="46" t="s">
        <v>1475</v>
      </c>
      <c r="X182" s="46" t="s">
        <v>1476</v>
      </c>
      <c r="Y182" s="46" t="s">
        <v>1379</v>
      </c>
    </row>
    <row r="183" customFormat="false" ht="15" hidden="false" customHeight="false" outlineLevel="0" collapsed="false">
      <c r="A183" s="46" t="s">
        <v>1502</v>
      </c>
      <c r="B183" s="46" t="s">
        <v>1270</v>
      </c>
      <c r="C183" s="46" t="s">
        <v>1481</v>
      </c>
      <c r="D183" s="46" t="s">
        <v>536</v>
      </c>
      <c r="E183" s="46" t="s">
        <v>1472</v>
      </c>
      <c r="F183" s="46" t="s">
        <v>1473</v>
      </c>
      <c r="G183" s="46"/>
      <c r="H183" s="46" t="s">
        <v>1070</v>
      </c>
      <c r="I183" s="46" t="s">
        <v>1070</v>
      </c>
      <c r="J183" s="46"/>
      <c r="K183" s="46"/>
      <c r="L183" s="46"/>
      <c r="M183" s="46"/>
      <c r="N183" s="46"/>
      <c r="O183" s="46"/>
      <c r="P183" s="46" t="s">
        <v>1327</v>
      </c>
      <c r="Q183" s="46" t="s">
        <v>471</v>
      </c>
      <c r="R183" s="50" t="n">
        <f aca="false">FL_Abb15_17!F9</f>
        <v>60200</v>
      </c>
      <c r="S183" s="46" t="s">
        <v>1488</v>
      </c>
      <c r="T183" s="46" t="s">
        <v>37</v>
      </c>
      <c r="U183" s="46" t="s">
        <v>673</v>
      </c>
      <c r="V183" s="46" t="s">
        <v>1275</v>
      </c>
      <c r="W183" s="46" t="s">
        <v>1475</v>
      </c>
      <c r="X183" s="46" t="s">
        <v>1476</v>
      </c>
      <c r="Y183" s="46" t="s">
        <v>1382</v>
      </c>
    </row>
    <row r="184" customFormat="false" ht="15" hidden="false" customHeight="false" outlineLevel="0" collapsed="false">
      <c r="A184" s="46" t="s">
        <v>1503</v>
      </c>
      <c r="B184" s="46" t="s">
        <v>1270</v>
      </c>
      <c r="C184" s="46" t="s">
        <v>1471</v>
      </c>
      <c r="D184" s="46" t="s">
        <v>536</v>
      </c>
      <c r="E184" s="46" t="s">
        <v>1472</v>
      </c>
      <c r="F184" s="46" t="s">
        <v>1473</v>
      </c>
      <c r="G184" s="46"/>
      <c r="H184" s="46" t="s">
        <v>1073</v>
      </c>
      <c r="I184" s="46" t="s">
        <v>1070</v>
      </c>
      <c r="J184" s="46"/>
      <c r="K184" s="46"/>
      <c r="L184" s="46"/>
      <c r="M184" s="46"/>
      <c r="N184" s="46"/>
      <c r="O184" s="46"/>
      <c r="P184" s="46" t="s">
        <v>1315</v>
      </c>
      <c r="Q184" s="46" t="s">
        <v>471</v>
      </c>
      <c r="R184" s="50" t="n">
        <f aca="false">FL_Abb15_17!D10</f>
        <v>60000</v>
      </c>
      <c r="S184" s="46" t="s">
        <v>1486</v>
      </c>
      <c r="T184" s="46" t="s">
        <v>37</v>
      </c>
      <c r="U184" s="46" t="s">
        <v>673</v>
      </c>
      <c r="V184" s="46" t="s">
        <v>1275</v>
      </c>
      <c r="W184" s="46" t="s">
        <v>1475</v>
      </c>
      <c r="X184" s="46" t="s">
        <v>1476</v>
      </c>
      <c r="Y184" s="46" t="s">
        <v>1392</v>
      </c>
    </row>
    <row r="185" customFormat="false" ht="15" hidden="false" customHeight="false" outlineLevel="0" collapsed="false">
      <c r="A185" s="46" t="s">
        <v>1504</v>
      </c>
      <c r="B185" s="46" t="s">
        <v>1270</v>
      </c>
      <c r="C185" s="46" t="s">
        <v>1478</v>
      </c>
      <c r="D185" s="46" t="s">
        <v>536</v>
      </c>
      <c r="E185" s="46" t="s">
        <v>1472</v>
      </c>
      <c r="F185" s="46" t="s">
        <v>1473</v>
      </c>
      <c r="G185" s="46"/>
      <c r="H185" s="46" t="s">
        <v>1073</v>
      </c>
      <c r="I185" s="46" t="s">
        <v>1070</v>
      </c>
      <c r="J185" s="46"/>
      <c r="K185" s="46"/>
      <c r="L185" s="46"/>
      <c r="M185" s="46"/>
      <c r="N185" s="46"/>
      <c r="O185" s="46"/>
      <c r="P185" s="46" t="s">
        <v>1273</v>
      </c>
      <c r="Q185" s="46" t="s">
        <v>471</v>
      </c>
      <c r="R185" s="50" t="n">
        <f aca="false">FL_Abb15_17!E10</f>
        <v>60200</v>
      </c>
      <c r="S185" s="46" t="s">
        <v>1488</v>
      </c>
      <c r="T185" s="46" t="s">
        <v>37</v>
      </c>
      <c r="U185" s="46" t="s">
        <v>673</v>
      </c>
      <c r="V185" s="46" t="s">
        <v>1275</v>
      </c>
      <c r="W185" s="46" t="s">
        <v>1475</v>
      </c>
      <c r="X185" s="46" t="s">
        <v>1476</v>
      </c>
      <c r="Y185" s="46" t="s">
        <v>1395</v>
      </c>
    </row>
    <row r="186" customFormat="false" ht="15" hidden="false" customHeight="false" outlineLevel="0" collapsed="false">
      <c r="A186" s="46" t="s">
        <v>1505</v>
      </c>
      <c r="B186" s="46" t="s">
        <v>1270</v>
      </c>
      <c r="C186" s="46" t="s">
        <v>1481</v>
      </c>
      <c r="D186" s="46" t="s">
        <v>536</v>
      </c>
      <c r="E186" s="46" t="s">
        <v>1472</v>
      </c>
      <c r="F186" s="46" t="s">
        <v>1473</v>
      </c>
      <c r="G186" s="46"/>
      <c r="H186" s="46" t="s">
        <v>1073</v>
      </c>
      <c r="I186" s="46" t="s">
        <v>1070</v>
      </c>
      <c r="J186" s="46"/>
      <c r="K186" s="46"/>
      <c r="L186" s="46"/>
      <c r="M186" s="46"/>
      <c r="N186" s="46"/>
      <c r="O186" s="46"/>
      <c r="P186" s="46" t="s">
        <v>1327</v>
      </c>
      <c r="Q186" s="46" t="s">
        <v>471</v>
      </c>
      <c r="R186" s="50" t="n">
        <f aca="false">FL_Abb15_17!F10</f>
        <v>60400</v>
      </c>
      <c r="S186" s="46" t="s">
        <v>1493</v>
      </c>
      <c r="T186" s="46" t="s">
        <v>37</v>
      </c>
      <c r="U186" s="46" t="s">
        <v>673</v>
      </c>
      <c r="V186" s="46" t="s">
        <v>1275</v>
      </c>
      <c r="W186" s="46" t="s">
        <v>1475</v>
      </c>
      <c r="X186" s="46" t="s">
        <v>1476</v>
      </c>
      <c r="Y186" s="46" t="s">
        <v>1397</v>
      </c>
    </row>
    <row r="187" customFormat="false" ht="15" hidden="false" customHeight="false" outlineLevel="0" collapsed="false">
      <c r="A187" s="46" t="s">
        <v>1506</v>
      </c>
      <c r="B187" s="46" t="s">
        <v>1270</v>
      </c>
      <c r="C187" s="46" t="s">
        <v>1471</v>
      </c>
      <c r="D187" s="46" t="s">
        <v>536</v>
      </c>
      <c r="E187" s="46" t="s">
        <v>1472</v>
      </c>
      <c r="F187" s="46" t="s">
        <v>1473</v>
      </c>
      <c r="G187" s="46"/>
      <c r="H187" s="46" t="s">
        <v>1066</v>
      </c>
      <c r="I187" s="46" t="s">
        <v>1073</v>
      </c>
      <c r="J187" s="46"/>
      <c r="K187" s="46"/>
      <c r="L187" s="46"/>
      <c r="M187" s="46"/>
      <c r="N187" s="46"/>
      <c r="O187" s="46"/>
      <c r="P187" s="46" t="s">
        <v>1315</v>
      </c>
      <c r="Q187" s="46" t="s">
        <v>471</v>
      </c>
      <c r="R187" s="50" t="n">
        <f aca="false">FL_Abb15_17!D11</f>
        <v>60000</v>
      </c>
      <c r="S187" s="46" t="s">
        <v>1486</v>
      </c>
      <c r="T187" s="46" t="s">
        <v>37</v>
      </c>
      <c r="U187" s="46" t="s">
        <v>673</v>
      </c>
      <c r="V187" s="46" t="s">
        <v>1275</v>
      </c>
      <c r="W187" s="46" t="s">
        <v>1475</v>
      </c>
      <c r="X187" s="46" t="s">
        <v>1476</v>
      </c>
      <c r="Y187" s="46" t="s">
        <v>1407</v>
      </c>
    </row>
    <row r="188" customFormat="false" ht="15" hidden="false" customHeight="false" outlineLevel="0" collapsed="false">
      <c r="A188" s="46" t="s">
        <v>1507</v>
      </c>
      <c r="B188" s="46" t="s">
        <v>1270</v>
      </c>
      <c r="C188" s="46" t="s">
        <v>1478</v>
      </c>
      <c r="D188" s="46" t="s">
        <v>536</v>
      </c>
      <c r="E188" s="46" t="s">
        <v>1472</v>
      </c>
      <c r="F188" s="46" t="s">
        <v>1473</v>
      </c>
      <c r="G188" s="46"/>
      <c r="H188" s="46" t="s">
        <v>1066</v>
      </c>
      <c r="I188" s="46" t="s">
        <v>1073</v>
      </c>
      <c r="J188" s="46"/>
      <c r="K188" s="46"/>
      <c r="L188" s="46"/>
      <c r="M188" s="46"/>
      <c r="N188" s="46"/>
      <c r="O188" s="46"/>
      <c r="P188" s="46" t="s">
        <v>1273</v>
      </c>
      <c r="Q188" s="46" t="s">
        <v>471</v>
      </c>
      <c r="R188" s="50" t="n">
        <f aca="false">FL_Abb15_17!E11</f>
        <v>59600</v>
      </c>
      <c r="S188" s="46" t="s">
        <v>1508</v>
      </c>
      <c r="T188" s="46" t="s">
        <v>37</v>
      </c>
      <c r="U188" s="46" t="s">
        <v>673</v>
      </c>
      <c r="V188" s="46" t="s">
        <v>1275</v>
      </c>
      <c r="W188" s="46" t="s">
        <v>1475</v>
      </c>
      <c r="X188" s="46" t="s">
        <v>1476</v>
      </c>
      <c r="Y188" s="46" t="s">
        <v>1409</v>
      </c>
    </row>
    <row r="189" customFormat="false" ht="15" hidden="false" customHeight="false" outlineLevel="0" collapsed="false">
      <c r="A189" s="46" t="s">
        <v>1509</v>
      </c>
      <c r="B189" s="46" t="s">
        <v>1270</v>
      </c>
      <c r="C189" s="46" t="s">
        <v>1481</v>
      </c>
      <c r="D189" s="46" t="s">
        <v>536</v>
      </c>
      <c r="E189" s="46" t="s">
        <v>1472</v>
      </c>
      <c r="F189" s="46" t="s">
        <v>1473</v>
      </c>
      <c r="G189" s="46"/>
      <c r="H189" s="46" t="s">
        <v>1066</v>
      </c>
      <c r="I189" s="46" t="s">
        <v>1073</v>
      </c>
      <c r="J189" s="46"/>
      <c r="K189" s="46"/>
      <c r="L189" s="46"/>
      <c r="M189" s="46"/>
      <c r="N189" s="46"/>
      <c r="O189" s="46"/>
      <c r="P189" s="46" t="s">
        <v>1327</v>
      </c>
      <c r="Q189" s="46" t="s">
        <v>471</v>
      </c>
      <c r="R189" s="50" t="n">
        <f aca="false">FL_Abb15_17!F11</f>
        <v>59900</v>
      </c>
      <c r="S189" s="46" t="s">
        <v>1484</v>
      </c>
      <c r="T189" s="46" t="s">
        <v>37</v>
      </c>
      <c r="U189" s="46" t="s">
        <v>673</v>
      </c>
      <c r="V189" s="46" t="s">
        <v>1275</v>
      </c>
      <c r="W189" s="46" t="s">
        <v>1475</v>
      </c>
      <c r="X189" s="46" t="s">
        <v>1476</v>
      </c>
      <c r="Y189" s="46" t="s">
        <v>1412</v>
      </c>
    </row>
    <row r="190" customFormat="false" ht="15" hidden="false" customHeight="false" outlineLevel="0" collapsed="false">
      <c r="A190" s="46" t="s">
        <v>1510</v>
      </c>
      <c r="B190" s="46" t="s">
        <v>1270</v>
      </c>
      <c r="C190" s="46" t="s">
        <v>1471</v>
      </c>
      <c r="D190" s="46" t="s">
        <v>536</v>
      </c>
      <c r="E190" s="46" t="s">
        <v>1472</v>
      </c>
      <c r="F190" s="46" t="s">
        <v>1473</v>
      </c>
      <c r="G190" s="46"/>
      <c r="H190" s="46" t="s">
        <v>1070</v>
      </c>
      <c r="I190" s="46" t="s">
        <v>1073</v>
      </c>
      <c r="J190" s="46"/>
      <c r="K190" s="46"/>
      <c r="L190" s="46"/>
      <c r="M190" s="46"/>
      <c r="N190" s="46"/>
      <c r="O190" s="46"/>
      <c r="P190" s="46" t="s">
        <v>1315</v>
      </c>
      <c r="Q190" s="46" t="s">
        <v>471</v>
      </c>
      <c r="R190" s="50" t="n">
        <f aca="false">FL_Abb15_17!D12</f>
        <v>60100</v>
      </c>
      <c r="S190" s="46" t="s">
        <v>1490</v>
      </c>
      <c r="T190" s="46" t="s">
        <v>37</v>
      </c>
      <c r="U190" s="46" t="s">
        <v>673</v>
      </c>
      <c r="V190" s="46" t="s">
        <v>1275</v>
      </c>
      <c r="W190" s="46" t="s">
        <v>1475</v>
      </c>
      <c r="X190" s="46" t="s">
        <v>1476</v>
      </c>
      <c r="Y190" s="46" t="s">
        <v>1421</v>
      </c>
    </row>
    <row r="191" customFormat="false" ht="15" hidden="false" customHeight="false" outlineLevel="0" collapsed="false">
      <c r="A191" s="46" t="s">
        <v>1511</v>
      </c>
      <c r="B191" s="46" t="s">
        <v>1270</v>
      </c>
      <c r="C191" s="46" t="s">
        <v>1478</v>
      </c>
      <c r="D191" s="46" t="s">
        <v>536</v>
      </c>
      <c r="E191" s="46" t="s">
        <v>1472</v>
      </c>
      <c r="F191" s="46" t="s">
        <v>1473</v>
      </c>
      <c r="G191" s="46"/>
      <c r="H191" s="46" t="s">
        <v>1070</v>
      </c>
      <c r="I191" s="46" t="s">
        <v>1073</v>
      </c>
      <c r="J191" s="46"/>
      <c r="K191" s="46"/>
      <c r="L191" s="46"/>
      <c r="M191" s="46"/>
      <c r="N191" s="46"/>
      <c r="O191" s="46"/>
      <c r="P191" s="46" t="s">
        <v>1273</v>
      </c>
      <c r="Q191" s="46" t="s">
        <v>471</v>
      </c>
      <c r="R191" s="50" t="n">
        <f aca="false">FL_Abb15_17!E12</f>
        <v>60100</v>
      </c>
      <c r="S191" s="46" t="s">
        <v>1490</v>
      </c>
      <c r="T191" s="46" t="s">
        <v>37</v>
      </c>
      <c r="U191" s="46" t="s">
        <v>673</v>
      </c>
      <c r="V191" s="46" t="s">
        <v>1275</v>
      </c>
      <c r="W191" s="46" t="s">
        <v>1475</v>
      </c>
      <c r="X191" s="46" t="s">
        <v>1476</v>
      </c>
      <c r="Y191" s="46" t="s">
        <v>1423</v>
      </c>
    </row>
    <row r="192" customFormat="false" ht="15" hidden="false" customHeight="false" outlineLevel="0" collapsed="false">
      <c r="A192" s="46" t="s">
        <v>1512</v>
      </c>
      <c r="B192" s="46" t="s">
        <v>1270</v>
      </c>
      <c r="C192" s="46" t="s">
        <v>1481</v>
      </c>
      <c r="D192" s="46" t="s">
        <v>536</v>
      </c>
      <c r="E192" s="46" t="s">
        <v>1472</v>
      </c>
      <c r="F192" s="46" t="s">
        <v>1473</v>
      </c>
      <c r="G192" s="46"/>
      <c r="H192" s="46" t="s">
        <v>1070</v>
      </c>
      <c r="I192" s="46" t="s">
        <v>1073</v>
      </c>
      <c r="J192" s="46"/>
      <c r="K192" s="46"/>
      <c r="L192" s="46"/>
      <c r="M192" s="46"/>
      <c r="N192" s="46"/>
      <c r="O192" s="46"/>
      <c r="P192" s="46" t="s">
        <v>1327</v>
      </c>
      <c r="Q192" s="46" t="s">
        <v>471</v>
      </c>
      <c r="R192" s="50" t="n">
        <f aca="false">FL_Abb15_17!F12</f>
        <v>60400</v>
      </c>
      <c r="S192" s="46" t="s">
        <v>1493</v>
      </c>
      <c r="T192" s="46" t="s">
        <v>37</v>
      </c>
      <c r="U192" s="46" t="s">
        <v>673</v>
      </c>
      <c r="V192" s="46" t="s">
        <v>1275</v>
      </c>
      <c r="W192" s="46" t="s">
        <v>1475</v>
      </c>
      <c r="X192" s="46" t="s">
        <v>1476</v>
      </c>
      <c r="Y192" s="46" t="s">
        <v>1426</v>
      </c>
    </row>
    <row r="193" customFormat="false" ht="15" hidden="false" customHeight="false" outlineLevel="0" collapsed="false">
      <c r="A193" s="46" t="s">
        <v>1513</v>
      </c>
      <c r="B193" s="46" t="s">
        <v>1270</v>
      </c>
      <c r="C193" s="46" t="s">
        <v>1471</v>
      </c>
      <c r="D193" s="46" t="s">
        <v>536</v>
      </c>
      <c r="E193" s="46" t="s">
        <v>1472</v>
      </c>
      <c r="F193" s="46" t="s">
        <v>1473</v>
      </c>
      <c r="G193" s="46"/>
      <c r="H193" s="46" t="s">
        <v>1073</v>
      </c>
      <c r="I193" s="46" t="s">
        <v>1073</v>
      </c>
      <c r="J193" s="46"/>
      <c r="K193" s="46"/>
      <c r="L193" s="46"/>
      <c r="M193" s="46"/>
      <c r="N193" s="46"/>
      <c r="O193" s="46"/>
      <c r="P193" s="46" t="s">
        <v>1315</v>
      </c>
      <c r="Q193" s="46" t="s">
        <v>471</v>
      </c>
      <c r="R193" s="50" t="n">
        <f aca="false">FL_Abb15_17!D13</f>
        <v>60000</v>
      </c>
      <c r="S193" s="46" t="s">
        <v>1486</v>
      </c>
      <c r="T193" s="46" t="s">
        <v>37</v>
      </c>
      <c r="U193" s="46" t="s">
        <v>673</v>
      </c>
      <c r="V193" s="46" t="s">
        <v>1275</v>
      </c>
      <c r="W193" s="46" t="s">
        <v>1475</v>
      </c>
      <c r="X193" s="46" t="s">
        <v>1476</v>
      </c>
      <c r="Y193" s="46" t="s">
        <v>1435</v>
      </c>
    </row>
    <row r="194" customFormat="false" ht="15" hidden="false" customHeight="false" outlineLevel="0" collapsed="false">
      <c r="A194" s="46" t="s">
        <v>1514</v>
      </c>
      <c r="B194" s="46" t="s">
        <v>1270</v>
      </c>
      <c r="C194" s="46" t="s">
        <v>1478</v>
      </c>
      <c r="D194" s="46" t="s">
        <v>536</v>
      </c>
      <c r="E194" s="46" t="s">
        <v>1472</v>
      </c>
      <c r="F194" s="46" t="s">
        <v>1473</v>
      </c>
      <c r="G194" s="46"/>
      <c r="H194" s="46" t="s">
        <v>1073</v>
      </c>
      <c r="I194" s="46" t="s">
        <v>1073</v>
      </c>
      <c r="J194" s="46"/>
      <c r="K194" s="46"/>
      <c r="L194" s="46"/>
      <c r="M194" s="46"/>
      <c r="N194" s="46"/>
      <c r="O194" s="46"/>
      <c r="P194" s="46" t="s">
        <v>1273</v>
      </c>
      <c r="Q194" s="46" t="s">
        <v>471</v>
      </c>
      <c r="R194" s="50" t="n">
        <f aca="false">FL_Abb15_17!E13</f>
        <v>60200</v>
      </c>
      <c r="S194" s="46" t="s">
        <v>1488</v>
      </c>
      <c r="T194" s="46" t="s">
        <v>37</v>
      </c>
      <c r="U194" s="46" t="s">
        <v>673</v>
      </c>
      <c r="V194" s="46" t="s">
        <v>1275</v>
      </c>
      <c r="W194" s="46" t="s">
        <v>1475</v>
      </c>
      <c r="X194" s="46" t="s">
        <v>1476</v>
      </c>
      <c r="Y194" s="46" t="s">
        <v>1438</v>
      </c>
    </row>
    <row r="195" customFormat="false" ht="15" hidden="false" customHeight="false" outlineLevel="0" collapsed="false">
      <c r="A195" s="46" t="s">
        <v>1515</v>
      </c>
      <c r="B195" s="46" t="s">
        <v>1270</v>
      </c>
      <c r="C195" s="46" t="s">
        <v>1481</v>
      </c>
      <c r="D195" s="46" t="s">
        <v>536</v>
      </c>
      <c r="E195" s="46" t="s">
        <v>1472</v>
      </c>
      <c r="F195" s="46" t="s">
        <v>1473</v>
      </c>
      <c r="G195" s="46"/>
      <c r="H195" s="46" t="s">
        <v>1073</v>
      </c>
      <c r="I195" s="46" t="s">
        <v>1073</v>
      </c>
      <c r="J195" s="46"/>
      <c r="K195" s="46"/>
      <c r="L195" s="46"/>
      <c r="M195" s="46"/>
      <c r="N195" s="46"/>
      <c r="O195" s="46"/>
      <c r="P195" s="46" t="s">
        <v>1327</v>
      </c>
      <c r="Q195" s="46" t="s">
        <v>471</v>
      </c>
      <c r="R195" s="50" t="n">
        <f aca="false">FL_Abb15_17!F13</f>
        <v>60400</v>
      </c>
      <c r="S195" s="46" t="s">
        <v>1493</v>
      </c>
      <c r="T195" s="46" t="s">
        <v>37</v>
      </c>
      <c r="U195" s="46" t="s">
        <v>673</v>
      </c>
      <c r="V195" s="46" t="s">
        <v>1275</v>
      </c>
      <c r="W195" s="46" t="s">
        <v>1475</v>
      </c>
      <c r="X195" s="46" t="s">
        <v>1476</v>
      </c>
      <c r="Y195" s="46" t="s">
        <v>1441</v>
      </c>
    </row>
    <row r="196" customFormat="false" ht="15" hidden="false" customHeight="false" outlineLevel="0" collapsed="false">
      <c r="A196" s="46" t="s">
        <v>1516</v>
      </c>
      <c r="B196" s="46" t="s">
        <v>1270</v>
      </c>
      <c r="C196" s="46" t="s">
        <v>1471</v>
      </c>
      <c r="D196" s="46" t="s">
        <v>541</v>
      </c>
      <c r="E196" s="46" t="s">
        <v>1517</v>
      </c>
      <c r="F196" s="46" t="s">
        <v>388</v>
      </c>
      <c r="G196" s="46"/>
      <c r="H196" s="46" t="s">
        <v>1066</v>
      </c>
      <c r="I196" s="46" t="s">
        <v>1066</v>
      </c>
      <c r="J196" s="46"/>
      <c r="K196" s="46"/>
      <c r="L196" s="46"/>
      <c r="M196" s="46"/>
      <c r="N196" s="46"/>
      <c r="O196" s="46"/>
      <c r="P196" s="46" t="s">
        <v>1315</v>
      </c>
      <c r="Q196" s="46" t="s">
        <v>471</v>
      </c>
      <c r="R196" s="50" t="n">
        <f aca="false">FL_Abb15_17!D14</f>
        <v>368</v>
      </c>
      <c r="S196" s="46" t="s">
        <v>1518</v>
      </c>
      <c r="T196" s="46" t="s">
        <v>37</v>
      </c>
      <c r="U196" s="46" t="s">
        <v>678</v>
      </c>
      <c r="V196" s="46" t="s">
        <v>1275</v>
      </c>
      <c r="W196" s="46" t="s">
        <v>1475</v>
      </c>
      <c r="X196" s="46" t="s">
        <v>1476</v>
      </c>
      <c r="Y196" s="46" t="s">
        <v>1451</v>
      </c>
    </row>
    <row r="197" customFormat="false" ht="15" hidden="false" customHeight="false" outlineLevel="0" collapsed="false">
      <c r="A197" s="46" t="s">
        <v>1519</v>
      </c>
      <c r="B197" s="46" t="s">
        <v>1270</v>
      </c>
      <c r="C197" s="46" t="s">
        <v>1478</v>
      </c>
      <c r="D197" s="46" t="s">
        <v>541</v>
      </c>
      <c r="E197" s="46" t="s">
        <v>1517</v>
      </c>
      <c r="F197" s="46" t="s">
        <v>388</v>
      </c>
      <c r="G197" s="46"/>
      <c r="H197" s="46" t="s">
        <v>1066</v>
      </c>
      <c r="I197" s="46" t="s">
        <v>1066</v>
      </c>
      <c r="J197" s="46"/>
      <c r="K197" s="46"/>
      <c r="L197" s="46"/>
      <c r="M197" s="46"/>
      <c r="N197" s="46"/>
      <c r="O197" s="46"/>
      <c r="P197" s="46" t="s">
        <v>1273</v>
      </c>
      <c r="Q197" s="46" t="s">
        <v>471</v>
      </c>
      <c r="R197" s="50" t="n">
        <f aca="false">FL_Abb15_17!E14</f>
        <v>390</v>
      </c>
      <c r="S197" s="46" t="s">
        <v>1520</v>
      </c>
      <c r="T197" s="46" t="s">
        <v>37</v>
      </c>
      <c r="U197" s="46" t="s">
        <v>678</v>
      </c>
      <c r="V197" s="46" t="s">
        <v>1275</v>
      </c>
      <c r="W197" s="46" t="s">
        <v>1475</v>
      </c>
      <c r="X197" s="46" t="s">
        <v>1476</v>
      </c>
      <c r="Y197" s="46" t="s">
        <v>1453</v>
      </c>
    </row>
    <row r="198" customFormat="false" ht="15" hidden="false" customHeight="false" outlineLevel="0" collapsed="false">
      <c r="A198" s="46" t="s">
        <v>1521</v>
      </c>
      <c r="B198" s="46" t="s">
        <v>1270</v>
      </c>
      <c r="C198" s="46" t="s">
        <v>1481</v>
      </c>
      <c r="D198" s="46" t="s">
        <v>541</v>
      </c>
      <c r="E198" s="46" t="s">
        <v>1517</v>
      </c>
      <c r="F198" s="46" t="s">
        <v>388</v>
      </c>
      <c r="G198" s="46"/>
      <c r="H198" s="46" t="s">
        <v>1066</v>
      </c>
      <c r="I198" s="46" t="s">
        <v>1066</v>
      </c>
      <c r="J198" s="46"/>
      <c r="K198" s="46"/>
      <c r="L198" s="46"/>
      <c r="M198" s="46"/>
      <c r="N198" s="46"/>
      <c r="O198" s="46"/>
      <c r="P198" s="46" t="s">
        <v>1327</v>
      </c>
      <c r="Q198" s="46" t="s">
        <v>471</v>
      </c>
      <c r="R198" s="50" t="n">
        <f aca="false">FL_Abb15_17!F14</f>
        <v>398</v>
      </c>
      <c r="S198" s="46" t="s">
        <v>1522</v>
      </c>
      <c r="T198" s="46" t="s">
        <v>37</v>
      </c>
      <c r="U198" s="46" t="s">
        <v>678</v>
      </c>
      <c r="V198" s="46" t="s">
        <v>1275</v>
      </c>
      <c r="W198" s="46" t="s">
        <v>1475</v>
      </c>
      <c r="X198" s="46" t="s">
        <v>1476</v>
      </c>
      <c r="Y198" s="46" t="s">
        <v>1455</v>
      </c>
    </row>
    <row r="199" customFormat="false" ht="15" hidden="false" customHeight="false" outlineLevel="0" collapsed="false">
      <c r="A199" s="46" t="s">
        <v>1523</v>
      </c>
      <c r="B199" s="46" t="s">
        <v>1270</v>
      </c>
      <c r="C199" s="46" t="s">
        <v>1471</v>
      </c>
      <c r="D199" s="46" t="s">
        <v>541</v>
      </c>
      <c r="E199" s="46" t="s">
        <v>1517</v>
      </c>
      <c r="F199" s="46" t="s">
        <v>388</v>
      </c>
      <c r="G199" s="46"/>
      <c r="H199" s="46" t="s">
        <v>1070</v>
      </c>
      <c r="I199" s="46" t="s">
        <v>1066</v>
      </c>
      <c r="J199" s="46"/>
      <c r="K199" s="46"/>
      <c r="L199" s="46"/>
      <c r="M199" s="46"/>
      <c r="N199" s="46"/>
      <c r="O199" s="46"/>
      <c r="P199" s="46" t="s">
        <v>1315</v>
      </c>
      <c r="Q199" s="46" t="s">
        <v>471</v>
      </c>
      <c r="R199" s="50" t="n">
        <f aca="false">FL_Abb15_17!D15</f>
        <v>398</v>
      </c>
      <c r="S199" s="46" t="s">
        <v>1522</v>
      </c>
      <c r="T199" s="46" t="s">
        <v>37</v>
      </c>
      <c r="U199" s="46" t="s">
        <v>678</v>
      </c>
      <c r="V199" s="46" t="s">
        <v>1275</v>
      </c>
      <c r="W199" s="46" t="s">
        <v>1475</v>
      </c>
      <c r="X199" s="46" t="s">
        <v>1476</v>
      </c>
      <c r="Y199" s="46" t="s">
        <v>1465</v>
      </c>
    </row>
    <row r="200" customFormat="false" ht="15" hidden="false" customHeight="false" outlineLevel="0" collapsed="false">
      <c r="A200" s="46" t="s">
        <v>1524</v>
      </c>
      <c r="B200" s="46" t="s">
        <v>1270</v>
      </c>
      <c r="C200" s="46" t="s">
        <v>1478</v>
      </c>
      <c r="D200" s="46" t="s">
        <v>541</v>
      </c>
      <c r="E200" s="46" t="s">
        <v>1517</v>
      </c>
      <c r="F200" s="46" t="s">
        <v>388</v>
      </c>
      <c r="G200" s="46"/>
      <c r="H200" s="46" t="s">
        <v>1070</v>
      </c>
      <c r="I200" s="46" t="s">
        <v>1066</v>
      </c>
      <c r="J200" s="46"/>
      <c r="K200" s="46"/>
      <c r="L200" s="46"/>
      <c r="M200" s="46"/>
      <c r="N200" s="46"/>
      <c r="O200" s="46"/>
      <c r="P200" s="46" t="s">
        <v>1273</v>
      </c>
      <c r="Q200" s="46" t="s">
        <v>471</v>
      </c>
      <c r="R200" s="50" t="n">
        <f aca="false">FL_Abb15_17!E15</f>
        <v>399</v>
      </c>
      <c r="S200" s="46" t="s">
        <v>1525</v>
      </c>
      <c r="T200" s="46" t="s">
        <v>37</v>
      </c>
      <c r="U200" s="46" t="s">
        <v>678</v>
      </c>
      <c r="V200" s="46" t="s">
        <v>1275</v>
      </c>
      <c r="W200" s="46" t="s">
        <v>1475</v>
      </c>
      <c r="X200" s="46" t="s">
        <v>1476</v>
      </c>
      <c r="Y200" s="46" t="s">
        <v>1467</v>
      </c>
    </row>
    <row r="201" customFormat="false" ht="15" hidden="false" customHeight="false" outlineLevel="0" collapsed="false">
      <c r="A201" s="46" t="s">
        <v>1526</v>
      </c>
      <c r="B201" s="46" t="s">
        <v>1270</v>
      </c>
      <c r="C201" s="46" t="s">
        <v>1481</v>
      </c>
      <c r="D201" s="46" t="s">
        <v>541</v>
      </c>
      <c r="E201" s="46" t="s">
        <v>1517</v>
      </c>
      <c r="F201" s="46" t="s">
        <v>388</v>
      </c>
      <c r="G201" s="46"/>
      <c r="H201" s="46" t="s">
        <v>1070</v>
      </c>
      <c r="I201" s="46" t="s">
        <v>1066</v>
      </c>
      <c r="J201" s="46"/>
      <c r="K201" s="46"/>
      <c r="L201" s="46"/>
      <c r="M201" s="46"/>
      <c r="N201" s="46"/>
      <c r="O201" s="46"/>
      <c r="P201" s="46" t="s">
        <v>1327</v>
      </c>
      <c r="Q201" s="46" t="s">
        <v>471</v>
      </c>
      <c r="R201" s="50" t="n">
        <f aca="false">FL_Abb15_17!F15</f>
        <v>400</v>
      </c>
      <c r="S201" s="46" t="s">
        <v>1527</v>
      </c>
      <c r="T201" s="46" t="s">
        <v>37</v>
      </c>
      <c r="U201" s="46" t="s">
        <v>678</v>
      </c>
      <c r="V201" s="46" t="s">
        <v>1275</v>
      </c>
      <c r="W201" s="46" t="s">
        <v>1475</v>
      </c>
      <c r="X201" s="46" t="s">
        <v>1476</v>
      </c>
      <c r="Y201" s="46" t="s">
        <v>1469</v>
      </c>
    </row>
    <row r="202" customFormat="false" ht="15" hidden="false" customHeight="false" outlineLevel="0" collapsed="false">
      <c r="A202" s="46" t="s">
        <v>1528</v>
      </c>
      <c r="B202" s="46" t="s">
        <v>1270</v>
      </c>
      <c r="C202" s="46" t="s">
        <v>1471</v>
      </c>
      <c r="D202" s="46" t="s">
        <v>541</v>
      </c>
      <c r="E202" s="46" t="s">
        <v>1517</v>
      </c>
      <c r="F202" s="46" t="s">
        <v>388</v>
      </c>
      <c r="G202" s="46"/>
      <c r="H202" s="46" t="s">
        <v>1073</v>
      </c>
      <c r="I202" s="46" t="s">
        <v>1066</v>
      </c>
      <c r="J202" s="46"/>
      <c r="K202" s="46"/>
      <c r="L202" s="46"/>
      <c r="M202" s="46"/>
      <c r="N202" s="46"/>
      <c r="O202" s="46"/>
      <c r="P202" s="46" t="s">
        <v>1315</v>
      </c>
      <c r="Q202" s="46" t="s">
        <v>471</v>
      </c>
      <c r="R202" s="50" t="n">
        <f aca="false">FL_Abb15_17!D16</f>
        <v>400</v>
      </c>
      <c r="S202" s="46" t="s">
        <v>1527</v>
      </c>
      <c r="T202" s="46" t="s">
        <v>37</v>
      </c>
      <c r="U202" s="46" t="s">
        <v>678</v>
      </c>
      <c r="V202" s="46" t="s">
        <v>1275</v>
      </c>
      <c r="W202" s="46" t="s">
        <v>1475</v>
      </c>
      <c r="X202" s="46" t="s">
        <v>1476</v>
      </c>
      <c r="Y202" s="46" t="s">
        <v>1529</v>
      </c>
    </row>
    <row r="203" customFormat="false" ht="15" hidden="false" customHeight="false" outlineLevel="0" collapsed="false">
      <c r="A203" s="46" t="s">
        <v>1530</v>
      </c>
      <c r="B203" s="46" t="s">
        <v>1270</v>
      </c>
      <c r="C203" s="46" t="s">
        <v>1478</v>
      </c>
      <c r="D203" s="46" t="s">
        <v>541</v>
      </c>
      <c r="E203" s="46" t="s">
        <v>1517</v>
      </c>
      <c r="F203" s="46" t="s">
        <v>388</v>
      </c>
      <c r="G203" s="46"/>
      <c r="H203" s="46" t="s">
        <v>1073</v>
      </c>
      <c r="I203" s="46" t="s">
        <v>1066</v>
      </c>
      <c r="J203" s="46"/>
      <c r="K203" s="46"/>
      <c r="L203" s="46"/>
      <c r="M203" s="46"/>
      <c r="N203" s="46"/>
      <c r="O203" s="46"/>
      <c r="P203" s="46" t="s">
        <v>1273</v>
      </c>
      <c r="Q203" s="46" t="s">
        <v>471</v>
      </c>
      <c r="R203" s="50" t="n">
        <f aca="false">FL_Abb15_17!E16</f>
        <v>399</v>
      </c>
      <c r="S203" s="46" t="s">
        <v>1525</v>
      </c>
      <c r="T203" s="46" t="s">
        <v>37</v>
      </c>
      <c r="U203" s="46" t="s">
        <v>678</v>
      </c>
      <c r="V203" s="46" t="s">
        <v>1275</v>
      </c>
      <c r="W203" s="46" t="s">
        <v>1475</v>
      </c>
      <c r="X203" s="46" t="s">
        <v>1476</v>
      </c>
      <c r="Y203" s="46" t="s">
        <v>1531</v>
      </c>
    </row>
    <row r="204" customFormat="false" ht="15" hidden="false" customHeight="false" outlineLevel="0" collapsed="false">
      <c r="A204" s="46" t="s">
        <v>1532</v>
      </c>
      <c r="B204" s="46" t="s">
        <v>1270</v>
      </c>
      <c r="C204" s="46" t="s">
        <v>1481</v>
      </c>
      <c r="D204" s="46" t="s">
        <v>541</v>
      </c>
      <c r="E204" s="46" t="s">
        <v>1517</v>
      </c>
      <c r="F204" s="46" t="s">
        <v>388</v>
      </c>
      <c r="G204" s="46"/>
      <c r="H204" s="46" t="s">
        <v>1073</v>
      </c>
      <c r="I204" s="46" t="s">
        <v>1066</v>
      </c>
      <c r="J204" s="46"/>
      <c r="K204" s="46"/>
      <c r="L204" s="46"/>
      <c r="M204" s="46"/>
      <c r="N204" s="46"/>
      <c r="O204" s="46"/>
      <c r="P204" s="46" t="s">
        <v>1327</v>
      </c>
      <c r="Q204" s="46" t="s">
        <v>471</v>
      </c>
      <c r="R204" s="50" t="n">
        <f aca="false">FL_Abb15_17!F16</f>
        <v>400</v>
      </c>
      <c r="S204" s="46" t="s">
        <v>1527</v>
      </c>
      <c r="T204" s="46" t="s">
        <v>37</v>
      </c>
      <c r="U204" s="46" t="s">
        <v>678</v>
      </c>
      <c r="V204" s="46" t="s">
        <v>1275</v>
      </c>
      <c r="W204" s="46" t="s">
        <v>1475</v>
      </c>
      <c r="X204" s="46" t="s">
        <v>1476</v>
      </c>
      <c r="Y204" s="46" t="s">
        <v>1533</v>
      </c>
    </row>
    <row r="205" customFormat="false" ht="15" hidden="false" customHeight="false" outlineLevel="0" collapsed="false">
      <c r="A205" s="46" t="s">
        <v>1534</v>
      </c>
      <c r="B205" s="46" t="s">
        <v>1270</v>
      </c>
      <c r="C205" s="46" t="s">
        <v>1471</v>
      </c>
      <c r="D205" s="46" t="s">
        <v>541</v>
      </c>
      <c r="E205" s="46" t="s">
        <v>1517</v>
      </c>
      <c r="F205" s="46" t="s">
        <v>388</v>
      </c>
      <c r="G205" s="46"/>
      <c r="H205" s="46" t="s">
        <v>1066</v>
      </c>
      <c r="I205" s="46" t="s">
        <v>1070</v>
      </c>
      <c r="J205" s="46"/>
      <c r="K205" s="46"/>
      <c r="L205" s="46"/>
      <c r="M205" s="46"/>
      <c r="N205" s="46"/>
      <c r="O205" s="46"/>
      <c r="P205" s="46" t="s">
        <v>1315</v>
      </c>
      <c r="Q205" s="46" t="s">
        <v>471</v>
      </c>
      <c r="R205" s="50" t="n">
        <f aca="false">FL_Abb15_17!D17</f>
        <v>374</v>
      </c>
      <c r="S205" s="46" t="s">
        <v>1535</v>
      </c>
      <c r="T205" s="46" t="s">
        <v>37</v>
      </c>
      <c r="U205" s="46" t="s">
        <v>678</v>
      </c>
      <c r="V205" s="46" t="s">
        <v>1275</v>
      </c>
      <c r="W205" s="46" t="s">
        <v>1475</v>
      </c>
      <c r="X205" s="46" t="s">
        <v>1476</v>
      </c>
      <c r="Y205" s="46" t="s">
        <v>1536</v>
      </c>
    </row>
    <row r="206" customFormat="false" ht="15" hidden="false" customHeight="false" outlineLevel="0" collapsed="false">
      <c r="A206" s="46" t="s">
        <v>1537</v>
      </c>
      <c r="B206" s="46" t="s">
        <v>1270</v>
      </c>
      <c r="C206" s="46" t="s">
        <v>1478</v>
      </c>
      <c r="D206" s="46" t="s">
        <v>541</v>
      </c>
      <c r="E206" s="46" t="s">
        <v>1517</v>
      </c>
      <c r="F206" s="46" t="s">
        <v>388</v>
      </c>
      <c r="G206" s="46"/>
      <c r="H206" s="46" t="s">
        <v>1066</v>
      </c>
      <c r="I206" s="46" t="s">
        <v>1070</v>
      </c>
      <c r="J206" s="46"/>
      <c r="K206" s="46"/>
      <c r="L206" s="46"/>
      <c r="M206" s="46"/>
      <c r="N206" s="46"/>
      <c r="O206" s="46"/>
      <c r="P206" s="46" t="s">
        <v>1273</v>
      </c>
      <c r="Q206" s="46" t="s">
        <v>471</v>
      </c>
      <c r="R206" s="50" t="n">
        <f aca="false">FL_Abb15_17!E17</f>
        <v>397</v>
      </c>
      <c r="S206" s="46" t="s">
        <v>1538</v>
      </c>
      <c r="T206" s="46" t="s">
        <v>37</v>
      </c>
      <c r="U206" s="46" t="s">
        <v>678</v>
      </c>
      <c r="V206" s="46" t="s">
        <v>1275</v>
      </c>
      <c r="W206" s="46" t="s">
        <v>1475</v>
      </c>
      <c r="X206" s="46" t="s">
        <v>1476</v>
      </c>
      <c r="Y206" s="46" t="s">
        <v>1539</v>
      </c>
    </row>
    <row r="207" customFormat="false" ht="15" hidden="false" customHeight="false" outlineLevel="0" collapsed="false">
      <c r="A207" s="46" t="s">
        <v>1540</v>
      </c>
      <c r="B207" s="46" t="s">
        <v>1270</v>
      </c>
      <c r="C207" s="46" t="s">
        <v>1481</v>
      </c>
      <c r="D207" s="46" t="s">
        <v>541</v>
      </c>
      <c r="E207" s="46" t="s">
        <v>1517</v>
      </c>
      <c r="F207" s="46" t="s">
        <v>388</v>
      </c>
      <c r="G207" s="46"/>
      <c r="H207" s="46" t="s">
        <v>1066</v>
      </c>
      <c r="I207" s="46" t="s">
        <v>1070</v>
      </c>
      <c r="J207" s="46"/>
      <c r="K207" s="46"/>
      <c r="L207" s="46"/>
      <c r="M207" s="46"/>
      <c r="N207" s="46"/>
      <c r="O207" s="46"/>
      <c r="P207" s="46" t="s">
        <v>1327</v>
      </c>
      <c r="Q207" s="46" t="s">
        <v>471</v>
      </c>
      <c r="R207" s="50" t="n">
        <f aca="false">FL_Abb15_17!F17</f>
        <v>400</v>
      </c>
      <c r="S207" s="46" t="s">
        <v>1527</v>
      </c>
      <c r="T207" s="46" t="s">
        <v>37</v>
      </c>
      <c r="U207" s="46" t="s">
        <v>678</v>
      </c>
      <c r="V207" s="46" t="s">
        <v>1275</v>
      </c>
      <c r="W207" s="46" t="s">
        <v>1475</v>
      </c>
      <c r="X207" s="46" t="s">
        <v>1476</v>
      </c>
      <c r="Y207" s="46" t="s">
        <v>1541</v>
      </c>
    </row>
    <row r="208" customFormat="false" ht="15" hidden="false" customHeight="false" outlineLevel="0" collapsed="false">
      <c r="A208" s="46" t="s">
        <v>1542</v>
      </c>
      <c r="B208" s="46" t="s">
        <v>1270</v>
      </c>
      <c r="C208" s="46" t="s">
        <v>1471</v>
      </c>
      <c r="D208" s="46" t="s">
        <v>541</v>
      </c>
      <c r="E208" s="46" t="s">
        <v>1517</v>
      </c>
      <c r="F208" s="46" t="s">
        <v>388</v>
      </c>
      <c r="G208" s="46"/>
      <c r="H208" s="46" t="s">
        <v>1070</v>
      </c>
      <c r="I208" s="46" t="s">
        <v>1070</v>
      </c>
      <c r="J208" s="46"/>
      <c r="K208" s="46"/>
      <c r="L208" s="46"/>
      <c r="M208" s="46"/>
      <c r="N208" s="46"/>
      <c r="O208" s="46"/>
      <c r="P208" s="46" t="s">
        <v>1315</v>
      </c>
      <c r="Q208" s="46" t="s">
        <v>471</v>
      </c>
      <c r="R208" s="50" t="n">
        <f aca="false">FL_Abb15_17!D18</f>
        <v>397</v>
      </c>
      <c r="S208" s="46" t="s">
        <v>1538</v>
      </c>
      <c r="T208" s="46" t="s">
        <v>37</v>
      </c>
      <c r="U208" s="46" t="s">
        <v>678</v>
      </c>
      <c r="V208" s="46" t="s">
        <v>1275</v>
      </c>
      <c r="W208" s="46" t="s">
        <v>1475</v>
      </c>
      <c r="X208" s="46" t="s">
        <v>1476</v>
      </c>
      <c r="Y208" s="46" t="s">
        <v>1543</v>
      </c>
    </row>
    <row r="209" customFormat="false" ht="15" hidden="false" customHeight="false" outlineLevel="0" collapsed="false">
      <c r="A209" s="46" t="s">
        <v>1544</v>
      </c>
      <c r="B209" s="46" t="s">
        <v>1270</v>
      </c>
      <c r="C209" s="46" t="s">
        <v>1478</v>
      </c>
      <c r="D209" s="46" t="s">
        <v>541</v>
      </c>
      <c r="E209" s="46" t="s">
        <v>1517</v>
      </c>
      <c r="F209" s="46" t="s">
        <v>388</v>
      </c>
      <c r="G209" s="46"/>
      <c r="H209" s="46" t="s">
        <v>1070</v>
      </c>
      <c r="I209" s="46" t="s">
        <v>1070</v>
      </c>
      <c r="J209" s="46"/>
      <c r="K209" s="46"/>
      <c r="L209" s="46"/>
      <c r="M209" s="46"/>
      <c r="N209" s="46"/>
      <c r="O209" s="46"/>
      <c r="P209" s="46" t="s">
        <v>1273</v>
      </c>
      <c r="Q209" s="46" t="s">
        <v>471</v>
      </c>
      <c r="R209" s="50" t="n">
        <f aca="false">FL_Abb15_17!E18</f>
        <v>400</v>
      </c>
      <c r="S209" s="46" t="s">
        <v>1527</v>
      </c>
      <c r="T209" s="46" t="s">
        <v>37</v>
      </c>
      <c r="U209" s="46" t="s">
        <v>678</v>
      </c>
      <c r="V209" s="46" t="s">
        <v>1275</v>
      </c>
      <c r="W209" s="46" t="s">
        <v>1475</v>
      </c>
      <c r="X209" s="46" t="s">
        <v>1476</v>
      </c>
      <c r="Y209" s="46" t="s">
        <v>1545</v>
      </c>
    </row>
    <row r="210" customFormat="false" ht="15" hidden="false" customHeight="false" outlineLevel="0" collapsed="false">
      <c r="A210" s="46" t="s">
        <v>1546</v>
      </c>
      <c r="B210" s="46" t="s">
        <v>1270</v>
      </c>
      <c r="C210" s="46" t="s">
        <v>1481</v>
      </c>
      <c r="D210" s="46" t="s">
        <v>541</v>
      </c>
      <c r="E210" s="46" t="s">
        <v>1517</v>
      </c>
      <c r="F210" s="46" t="s">
        <v>388</v>
      </c>
      <c r="G210" s="46"/>
      <c r="H210" s="46" t="s">
        <v>1070</v>
      </c>
      <c r="I210" s="46" t="s">
        <v>1070</v>
      </c>
      <c r="J210" s="46"/>
      <c r="K210" s="46"/>
      <c r="L210" s="46"/>
      <c r="M210" s="46"/>
      <c r="N210" s="46"/>
      <c r="O210" s="46"/>
      <c r="P210" s="46" t="s">
        <v>1327</v>
      </c>
      <c r="Q210" s="46" t="s">
        <v>471</v>
      </c>
      <c r="R210" s="50" t="n">
        <f aca="false">FL_Abb15_17!F18</f>
        <v>400</v>
      </c>
      <c r="S210" s="46" t="s">
        <v>1527</v>
      </c>
      <c r="T210" s="46" t="s">
        <v>37</v>
      </c>
      <c r="U210" s="46" t="s">
        <v>678</v>
      </c>
      <c r="V210" s="46" t="s">
        <v>1275</v>
      </c>
      <c r="W210" s="46" t="s">
        <v>1475</v>
      </c>
      <c r="X210" s="46" t="s">
        <v>1476</v>
      </c>
      <c r="Y210" s="46" t="s">
        <v>1547</v>
      </c>
    </row>
    <row r="211" customFormat="false" ht="15" hidden="false" customHeight="false" outlineLevel="0" collapsed="false">
      <c r="A211" s="46" t="s">
        <v>1548</v>
      </c>
      <c r="B211" s="46" t="s">
        <v>1270</v>
      </c>
      <c r="C211" s="46" t="s">
        <v>1471</v>
      </c>
      <c r="D211" s="46" t="s">
        <v>541</v>
      </c>
      <c r="E211" s="46" t="s">
        <v>1517</v>
      </c>
      <c r="F211" s="46" t="s">
        <v>388</v>
      </c>
      <c r="G211" s="46"/>
      <c r="H211" s="46" t="s">
        <v>1073</v>
      </c>
      <c r="I211" s="46" t="s">
        <v>1070</v>
      </c>
      <c r="J211" s="46"/>
      <c r="K211" s="46"/>
      <c r="L211" s="46"/>
      <c r="M211" s="46"/>
      <c r="N211" s="46"/>
      <c r="O211" s="46"/>
      <c r="P211" s="46" t="s">
        <v>1315</v>
      </c>
      <c r="Q211" s="46" t="s">
        <v>471</v>
      </c>
      <c r="R211" s="50" t="n">
        <f aca="false">FL_Abb15_17!D19</f>
        <v>400</v>
      </c>
      <c r="S211" s="46" t="s">
        <v>1527</v>
      </c>
      <c r="T211" s="46" t="s">
        <v>37</v>
      </c>
      <c r="U211" s="46" t="s">
        <v>678</v>
      </c>
      <c r="V211" s="46" t="s">
        <v>1275</v>
      </c>
      <c r="W211" s="46" t="s">
        <v>1475</v>
      </c>
      <c r="X211" s="46" t="s">
        <v>1476</v>
      </c>
      <c r="Y211" s="46" t="s">
        <v>1549</v>
      </c>
    </row>
    <row r="212" customFormat="false" ht="15" hidden="false" customHeight="false" outlineLevel="0" collapsed="false">
      <c r="A212" s="46" t="s">
        <v>1550</v>
      </c>
      <c r="B212" s="46" t="s">
        <v>1270</v>
      </c>
      <c r="C212" s="46" t="s">
        <v>1478</v>
      </c>
      <c r="D212" s="46" t="s">
        <v>541</v>
      </c>
      <c r="E212" s="46" t="s">
        <v>1517</v>
      </c>
      <c r="F212" s="46" t="s">
        <v>388</v>
      </c>
      <c r="G212" s="46"/>
      <c r="H212" s="46" t="s">
        <v>1073</v>
      </c>
      <c r="I212" s="46" t="s">
        <v>1070</v>
      </c>
      <c r="J212" s="46"/>
      <c r="K212" s="46"/>
      <c r="L212" s="46"/>
      <c r="M212" s="46"/>
      <c r="N212" s="46"/>
      <c r="O212" s="46"/>
      <c r="P212" s="46" t="s">
        <v>1273</v>
      </c>
      <c r="Q212" s="46" t="s">
        <v>471</v>
      </c>
      <c r="R212" s="50" t="n">
        <f aca="false">FL_Abb15_17!E19</f>
        <v>400</v>
      </c>
      <c r="S212" s="46" t="s">
        <v>1527</v>
      </c>
      <c r="T212" s="46" t="s">
        <v>37</v>
      </c>
      <c r="U212" s="46" t="s">
        <v>678</v>
      </c>
      <c r="V212" s="46" t="s">
        <v>1275</v>
      </c>
      <c r="W212" s="46" t="s">
        <v>1475</v>
      </c>
      <c r="X212" s="46" t="s">
        <v>1476</v>
      </c>
      <c r="Y212" s="46" t="s">
        <v>1551</v>
      </c>
    </row>
    <row r="213" customFormat="false" ht="15" hidden="false" customHeight="false" outlineLevel="0" collapsed="false">
      <c r="A213" s="46" t="s">
        <v>1552</v>
      </c>
      <c r="B213" s="46" t="s">
        <v>1270</v>
      </c>
      <c r="C213" s="46" t="s">
        <v>1481</v>
      </c>
      <c r="D213" s="46" t="s">
        <v>541</v>
      </c>
      <c r="E213" s="46" t="s">
        <v>1517</v>
      </c>
      <c r="F213" s="46" t="s">
        <v>388</v>
      </c>
      <c r="G213" s="46"/>
      <c r="H213" s="46" t="s">
        <v>1073</v>
      </c>
      <c r="I213" s="46" t="s">
        <v>1070</v>
      </c>
      <c r="J213" s="46"/>
      <c r="K213" s="46"/>
      <c r="L213" s="46"/>
      <c r="M213" s="46"/>
      <c r="N213" s="46"/>
      <c r="O213" s="46"/>
      <c r="P213" s="46" t="s">
        <v>1327</v>
      </c>
      <c r="Q213" s="46" t="s">
        <v>471</v>
      </c>
      <c r="R213" s="50" t="n">
        <f aca="false">FL_Abb15_17!F19</f>
        <v>400</v>
      </c>
      <c r="S213" s="46" t="s">
        <v>1527</v>
      </c>
      <c r="T213" s="46" t="s">
        <v>37</v>
      </c>
      <c r="U213" s="46" t="s">
        <v>678</v>
      </c>
      <c r="V213" s="46" t="s">
        <v>1275</v>
      </c>
      <c r="W213" s="46" t="s">
        <v>1475</v>
      </c>
      <c r="X213" s="46" t="s">
        <v>1476</v>
      </c>
      <c r="Y213" s="46" t="s">
        <v>1553</v>
      </c>
    </row>
    <row r="214" customFormat="false" ht="15" hidden="false" customHeight="false" outlineLevel="0" collapsed="false">
      <c r="A214" s="46" t="s">
        <v>1554</v>
      </c>
      <c r="B214" s="46" t="s">
        <v>1270</v>
      </c>
      <c r="C214" s="46" t="s">
        <v>1471</v>
      </c>
      <c r="D214" s="46" t="s">
        <v>541</v>
      </c>
      <c r="E214" s="46" t="s">
        <v>1517</v>
      </c>
      <c r="F214" s="46" t="s">
        <v>388</v>
      </c>
      <c r="G214" s="46"/>
      <c r="H214" s="46" t="s">
        <v>1066</v>
      </c>
      <c r="I214" s="46" t="s">
        <v>1073</v>
      </c>
      <c r="J214" s="46"/>
      <c r="K214" s="46"/>
      <c r="L214" s="46"/>
      <c r="M214" s="46"/>
      <c r="N214" s="46"/>
      <c r="O214" s="46"/>
      <c r="P214" s="46" t="s">
        <v>1315</v>
      </c>
      <c r="Q214" s="46" t="s">
        <v>471</v>
      </c>
      <c r="R214" s="50" t="n">
        <f aca="false">FL_Abb15_17!D20</f>
        <v>399</v>
      </c>
      <c r="S214" s="46" t="s">
        <v>1525</v>
      </c>
      <c r="T214" s="46" t="s">
        <v>37</v>
      </c>
      <c r="U214" s="46" t="s">
        <v>678</v>
      </c>
      <c r="V214" s="46" t="s">
        <v>1275</v>
      </c>
      <c r="W214" s="46" t="s">
        <v>1475</v>
      </c>
      <c r="X214" s="46" t="s">
        <v>1476</v>
      </c>
      <c r="Y214" s="46" t="s">
        <v>1555</v>
      </c>
    </row>
    <row r="215" customFormat="false" ht="15" hidden="false" customHeight="false" outlineLevel="0" collapsed="false">
      <c r="A215" s="46" t="s">
        <v>1556</v>
      </c>
      <c r="B215" s="46" t="s">
        <v>1270</v>
      </c>
      <c r="C215" s="46" t="s">
        <v>1478</v>
      </c>
      <c r="D215" s="46" t="s">
        <v>541</v>
      </c>
      <c r="E215" s="46" t="s">
        <v>1517</v>
      </c>
      <c r="F215" s="46" t="s">
        <v>388</v>
      </c>
      <c r="G215" s="46"/>
      <c r="H215" s="46" t="s">
        <v>1066</v>
      </c>
      <c r="I215" s="46" t="s">
        <v>1073</v>
      </c>
      <c r="J215" s="46"/>
      <c r="K215" s="46"/>
      <c r="L215" s="46"/>
      <c r="M215" s="46"/>
      <c r="N215" s="46"/>
      <c r="O215" s="46"/>
      <c r="P215" s="46" t="s">
        <v>1273</v>
      </c>
      <c r="Q215" s="46" t="s">
        <v>471</v>
      </c>
      <c r="R215" s="50" t="n">
        <f aca="false">FL_Abb15_17!E20</f>
        <v>400</v>
      </c>
      <c r="S215" s="46" t="s">
        <v>1527</v>
      </c>
      <c r="T215" s="46" t="s">
        <v>37</v>
      </c>
      <c r="U215" s="46" t="s">
        <v>678</v>
      </c>
      <c r="V215" s="46" t="s">
        <v>1275</v>
      </c>
      <c r="W215" s="46" t="s">
        <v>1475</v>
      </c>
      <c r="X215" s="46" t="s">
        <v>1476</v>
      </c>
      <c r="Y215" s="46" t="s">
        <v>1557</v>
      </c>
    </row>
    <row r="216" customFormat="false" ht="15" hidden="false" customHeight="false" outlineLevel="0" collapsed="false">
      <c r="A216" s="46" t="s">
        <v>1558</v>
      </c>
      <c r="B216" s="46" t="s">
        <v>1270</v>
      </c>
      <c r="C216" s="46" t="s">
        <v>1481</v>
      </c>
      <c r="D216" s="46" t="s">
        <v>541</v>
      </c>
      <c r="E216" s="46" t="s">
        <v>1517</v>
      </c>
      <c r="F216" s="46" t="s">
        <v>388</v>
      </c>
      <c r="G216" s="46"/>
      <c r="H216" s="46" t="s">
        <v>1066</v>
      </c>
      <c r="I216" s="46" t="s">
        <v>1073</v>
      </c>
      <c r="J216" s="46"/>
      <c r="K216" s="46"/>
      <c r="L216" s="46"/>
      <c r="M216" s="46"/>
      <c r="N216" s="46"/>
      <c r="O216" s="46"/>
      <c r="P216" s="46" t="s">
        <v>1327</v>
      </c>
      <c r="Q216" s="46" t="s">
        <v>471</v>
      </c>
      <c r="R216" s="50" t="n">
        <f aca="false">FL_Abb15_17!F20</f>
        <v>400</v>
      </c>
      <c r="S216" s="46" t="s">
        <v>1527</v>
      </c>
      <c r="T216" s="46" t="s">
        <v>37</v>
      </c>
      <c r="U216" s="46" t="s">
        <v>678</v>
      </c>
      <c r="V216" s="46" t="s">
        <v>1275</v>
      </c>
      <c r="W216" s="46" t="s">
        <v>1475</v>
      </c>
      <c r="X216" s="46" t="s">
        <v>1476</v>
      </c>
      <c r="Y216" s="46" t="s">
        <v>1559</v>
      </c>
    </row>
    <row r="217" customFormat="false" ht="15" hidden="false" customHeight="false" outlineLevel="0" collapsed="false">
      <c r="A217" s="46" t="s">
        <v>1560</v>
      </c>
      <c r="B217" s="46" t="s">
        <v>1270</v>
      </c>
      <c r="C217" s="46" t="s">
        <v>1471</v>
      </c>
      <c r="D217" s="46" t="s">
        <v>541</v>
      </c>
      <c r="E217" s="46" t="s">
        <v>1517</v>
      </c>
      <c r="F217" s="46" t="s">
        <v>388</v>
      </c>
      <c r="G217" s="46"/>
      <c r="H217" s="46" t="s">
        <v>1070</v>
      </c>
      <c r="I217" s="46" t="s">
        <v>1073</v>
      </c>
      <c r="J217" s="46"/>
      <c r="K217" s="46"/>
      <c r="L217" s="46"/>
      <c r="M217" s="46"/>
      <c r="N217" s="46"/>
      <c r="O217" s="46"/>
      <c r="P217" s="46" t="s">
        <v>1315</v>
      </c>
      <c r="Q217" s="46" t="s">
        <v>471</v>
      </c>
      <c r="R217" s="50" t="n">
        <f aca="false">FL_Abb15_17!D21</f>
        <v>400</v>
      </c>
      <c r="S217" s="46" t="s">
        <v>1527</v>
      </c>
      <c r="T217" s="46" t="s">
        <v>37</v>
      </c>
      <c r="U217" s="46" t="s">
        <v>678</v>
      </c>
      <c r="V217" s="46" t="s">
        <v>1275</v>
      </c>
      <c r="W217" s="46" t="s">
        <v>1475</v>
      </c>
      <c r="X217" s="46" t="s">
        <v>1476</v>
      </c>
      <c r="Y217" s="46" t="s">
        <v>1561</v>
      </c>
    </row>
    <row r="218" customFormat="false" ht="15" hidden="false" customHeight="false" outlineLevel="0" collapsed="false">
      <c r="A218" s="46" t="s">
        <v>1562</v>
      </c>
      <c r="B218" s="46" t="s">
        <v>1270</v>
      </c>
      <c r="C218" s="46" t="s">
        <v>1478</v>
      </c>
      <c r="D218" s="46" t="s">
        <v>541</v>
      </c>
      <c r="E218" s="46" t="s">
        <v>1517</v>
      </c>
      <c r="F218" s="46" t="s">
        <v>388</v>
      </c>
      <c r="G218" s="46"/>
      <c r="H218" s="46" t="s">
        <v>1070</v>
      </c>
      <c r="I218" s="46" t="s">
        <v>1073</v>
      </c>
      <c r="J218" s="46"/>
      <c r="K218" s="46"/>
      <c r="L218" s="46"/>
      <c r="M218" s="46"/>
      <c r="N218" s="46"/>
      <c r="O218" s="46"/>
      <c r="P218" s="46" t="s">
        <v>1273</v>
      </c>
      <c r="Q218" s="46" t="s">
        <v>471</v>
      </c>
      <c r="R218" s="50" t="n">
        <f aca="false">FL_Abb15_17!E21</f>
        <v>400</v>
      </c>
      <c r="S218" s="46" t="s">
        <v>1527</v>
      </c>
      <c r="T218" s="46" t="s">
        <v>37</v>
      </c>
      <c r="U218" s="46" t="s">
        <v>678</v>
      </c>
      <c r="V218" s="46" t="s">
        <v>1275</v>
      </c>
      <c r="W218" s="46" t="s">
        <v>1475</v>
      </c>
      <c r="X218" s="46" t="s">
        <v>1476</v>
      </c>
      <c r="Y218" s="46" t="s">
        <v>1563</v>
      </c>
    </row>
    <row r="219" customFormat="false" ht="15" hidden="false" customHeight="false" outlineLevel="0" collapsed="false">
      <c r="A219" s="46" t="s">
        <v>1564</v>
      </c>
      <c r="B219" s="46" t="s">
        <v>1270</v>
      </c>
      <c r="C219" s="46" t="s">
        <v>1481</v>
      </c>
      <c r="D219" s="46" t="s">
        <v>541</v>
      </c>
      <c r="E219" s="46" t="s">
        <v>1517</v>
      </c>
      <c r="F219" s="46" t="s">
        <v>388</v>
      </c>
      <c r="G219" s="46"/>
      <c r="H219" s="46" t="s">
        <v>1070</v>
      </c>
      <c r="I219" s="46" t="s">
        <v>1073</v>
      </c>
      <c r="J219" s="46"/>
      <c r="K219" s="46"/>
      <c r="L219" s="46"/>
      <c r="M219" s="46"/>
      <c r="N219" s="46"/>
      <c r="O219" s="46"/>
      <c r="P219" s="46" t="s">
        <v>1327</v>
      </c>
      <c r="Q219" s="46" t="s">
        <v>471</v>
      </c>
      <c r="R219" s="50" t="n">
        <f aca="false">FL_Abb15_17!F21</f>
        <v>400</v>
      </c>
      <c r="S219" s="46" t="s">
        <v>1527</v>
      </c>
      <c r="T219" s="46" t="s">
        <v>37</v>
      </c>
      <c r="U219" s="46" t="s">
        <v>678</v>
      </c>
      <c r="V219" s="46" t="s">
        <v>1275</v>
      </c>
      <c r="W219" s="46" t="s">
        <v>1475</v>
      </c>
      <c r="X219" s="46" t="s">
        <v>1476</v>
      </c>
      <c r="Y219" s="46" t="s">
        <v>1565</v>
      </c>
    </row>
    <row r="220" customFormat="false" ht="15" hidden="false" customHeight="false" outlineLevel="0" collapsed="false">
      <c r="A220" s="46" t="s">
        <v>1566</v>
      </c>
      <c r="B220" s="46" t="s">
        <v>1270</v>
      </c>
      <c r="C220" s="46" t="s">
        <v>1471</v>
      </c>
      <c r="D220" s="46" t="s">
        <v>541</v>
      </c>
      <c r="E220" s="46" t="s">
        <v>1517</v>
      </c>
      <c r="F220" s="46" t="s">
        <v>388</v>
      </c>
      <c r="G220" s="46"/>
      <c r="H220" s="46" t="s">
        <v>1073</v>
      </c>
      <c r="I220" s="46" t="s">
        <v>1073</v>
      </c>
      <c r="J220" s="46"/>
      <c r="K220" s="46"/>
      <c r="L220" s="46"/>
      <c r="M220" s="46"/>
      <c r="N220" s="46"/>
      <c r="O220" s="46"/>
      <c r="P220" s="46" t="s">
        <v>1315</v>
      </c>
      <c r="Q220" s="46" t="s">
        <v>471</v>
      </c>
      <c r="R220" s="50" t="n">
        <f aca="false">FL_Abb15_17!D22</f>
        <v>400</v>
      </c>
      <c r="S220" s="46" t="s">
        <v>1527</v>
      </c>
      <c r="T220" s="46" t="s">
        <v>37</v>
      </c>
      <c r="U220" s="46" t="s">
        <v>678</v>
      </c>
      <c r="V220" s="46" t="s">
        <v>1275</v>
      </c>
      <c r="W220" s="46" t="s">
        <v>1475</v>
      </c>
      <c r="X220" s="46" t="s">
        <v>1476</v>
      </c>
      <c r="Y220" s="46" t="s">
        <v>1567</v>
      </c>
    </row>
    <row r="221" customFormat="false" ht="15" hidden="false" customHeight="false" outlineLevel="0" collapsed="false">
      <c r="A221" s="46" t="s">
        <v>1568</v>
      </c>
      <c r="B221" s="46" t="s">
        <v>1270</v>
      </c>
      <c r="C221" s="46" t="s">
        <v>1478</v>
      </c>
      <c r="D221" s="46" t="s">
        <v>541</v>
      </c>
      <c r="E221" s="46" t="s">
        <v>1517</v>
      </c>
      <c r="F221" s="46" t="s">
        <v>388</v>
      </c>
      <c r="G221" s="46"/>
      <c r="H221" s="46" t="s">
        <v>1073</v>
      </c>
      <c r="I221" s="46" t="s">
        <v>1073</v>
      </c>
      <c r="J221" s="46"/>
      <c r="K221" s="46"/>
      <c r="L221" s="46"/>
      <c r="M221" s="46"/>
      <c r="N221" s="46"/>
      <c r="O221" s="46"/>
      <c r="P221" s="46" t="s">
        <v>1273</v>
      </c>
      <c r="Q221" s="46" t="s">
        <v>471</v>
      </c>
      <c r="R221" s="50" t="n">
        <f aca="false">FL_Abb15_17!E22</f>
        <v>400</v>
      </c>
      <c r="S221" s="46" t="s">
        <v>1527</v>
      </c>
      <c r="T221" s="46" t="s">
        <v>37</v>
      </c>
      <c r="U221" s="46" t="s">
        <v>678</v>
      </c>
      <c r="V221" s="46" t="s">
        <v>1275</v>
      </c>
      <c r="W221" s="46" t="s">
        <v>1475</v>
      </c>
      <c r="X221" s="46" t="s">
        <v>1476</v>
      </c>
      <c r="Y221" s="46" t="s">
        <v>1569</v>
      </c>
    </row>
    <row r="222" customFormat="false" ht="15" hidden="false" customHeight="false" outlineLevel="0" collapsed="false">
      <c r="A222" s="46" t="s">
        <v>1570</v>
      </c>
      <c r="B222" s="46" t="s">
        <v>1270</v>
      </c>
      <c r="C222" s="46" t="s">
        <v>1481</v>
      </c>
      <c r="D222" s="46" t="s">
        <v>541</v>
      </c>
      <c r="E222" s="46" t="s">
        <v>1517</v>
      </c>
      <c r="F222" s="46" t="s">
        <v>388</v>
      </c>
      <c r="G222" s="46"/>
      <c r="H222" s="46" t="s">
        <v>1073</v>
      </c>
      <c r="I222" s="46" t="s">
        <v>1073</v>
      </c>
      <c r="J222" s="46"/>
      <c r="K222" s="46"/>
      <c r="L222" s="46"/>
      <c r="M222" s="46"/>
      <c r="N222" s="46"/>
      <c r="O222" s="46"/>
      <c r="P222" s="46" t="s">
        <v>1327</v>
      </c>
      <c r="Q222" s="46" t="s">
        <v>471</v>
      </c>
      <c r="R222" s="50" t="n">
        <f aca="false">FL_Abb15_17!F22</f>
        <v>400</v>
      </c>
      <c r="S222" s="46" t="s">
        <v>1527</v>
      </c>
      <c r="T222" s="46" t="s">
        <v>37</v>
      </c>
      <c r="U222" s="46" t="s">
        <v>678</v>
      </c>
      <c r="V222" s="46" t="s">
        <v>1275</v>
      </c>
      <c r="W222" s="46" t="s">
        <v>1475</v>
      </c>
      <c r="X222" s="46" t="s">
        <v>1476</v>
      </c>
      <c r="Y222" s="46" t="s">
        <v>1571</v>
      </c>
    </row>
    <row r="223" customFormat="false" ht="15" hidden="false" customHeight="false" outlineLevel="0" collapsed="false">
      <c r="A223" s="46" t="s">
        <v>1572</v>
      </c>
      <c r="B223" s="46" t="s">
        <v>1270</v>
      </c>
      <c r="C223" s="46" t="s">
        <v>1471</v>
      </c>
      <c r="D223" s="46" t="s">
        <v>569</v>
      </c>
      <c r="E223" s="46" t="s">
        <v>1573</v>
      </c>
      <c r="F223" s="46" t="s">
        <v>1574</v>
      </c>
      <c r="G223" s="46"/>
      <c r="H223" s="46" t="s">
        <v>1066</v>
      </c>
      <c r="I223" s="46" t="s">
        <v>1066</v>
      </c>
      <c r="J223" s="46"/>
      <c r="K223" s="46"/>
      <c r="L223" s="46"/>
      <c r="M223" s="46"/>
      <c r="N223" s="46"/>
      <c r="O223" s="46"/>
      <c r="P223" s="46" t="s">
        <v>1315</v>
      </c>
      <c r="Q223" s="46" t="s">
        <v>471</v>
      </c>
      <c r="R223" s="50" t="n">
        <f aca="false">FL_Abb15_17!D23</f>
        <v>19800</v>
      </c>
      <c r="S223" s="46" t="s">
        <v>1575</v>
      </c>
      <c r="T223" s="46" t="s">
        <v>37</v>
      </c>
      <c r="U223" s="46" t="s">
        <v>681</v>
      </c>
      <c r="V223" s="46" t="s">
        <v>1275</v>
      </c>
      <c r="W223" s="46" t="s">
        <v>1475</v>
      </c>
      <c r="X223" s="46" t="s">
        <v>1476</v>
      </c>
      <c r="Y223" s="46" t="s">
        <v>1576</v>
      </c>
    </row>
    <row r="224" customFormat="false" ht="15" hidden="false" customHeight="false" outlineLevel="0" collapsed="false">
      <c r="A224" s="46" t="s">
        <v>1577</v>
      </c>
      <c r="B224" s="46" t="s">
        <v>1270</v>
      </c>
      <c r="C224" s="46" t="s">
        <v>1478</v>
      </c>
      <c r="D224" s="46" t="s">
        <v>569</v>
      </c>
      <c r="E224" s="46" t="s">
        <v>1573</v>
      </c>
      <c r="F224" s="46" t="s">
        <v>1574</v>
      </c>
      <c r="G224" s="46"/>
      <c r="H224" s="46" t="s">
        <v>1066</v>
      </c>
      <c r="I224" s="46" t="s">
        <v>1066</v>
      </c>
      <c r="J224" s="46"/>
      <c r="K224" s="46"/>
      <c r="L224" s="46"/>
      <c r="M224" s="46"/>
      <c r="N224" s="46"/>
      <c r="O224" s="46"/>
      <c r="P224" s="46" t="s">
        <v>1273</v>
      </c>
      <c r="Q224" s="46" t="s">
        <v>471</v>
      </c>
      <c r="R224" s="50" t="n">
        <f aca="false">FL_Abb15_17!E23</f>
        <v>21900</v>
      </c>
      <c r="S224" s="46" t="s">
        <v>1578</v>
      </c>
      <c r="T224" s="46" t="s">
        <v>37</v>
      </c>
      <c r="U224" s="46" t="s">
        <v>681</v>
      </c>
      <c r="V224" s="46" t="s">
        <v>1275</v>
      </c>
      <c r="W224" s="46" t="s">
        <v>1475</v>
      </c>
      <c r="X224" s="46" t="s">
        <v>1476</v>
      </c>
      <c r="Y224" s="46" t="s">
        <v>1579</v>
      </c>
    </row>
    <row r="225" customFormat="false" ht="15" hidden="false" customHeight="false" outlineLevel="0" collapsed="false">
      <c r="A225" s="46" t="s">
        <v>1580</v>
      </c>
      <c r="B225" s="46" t="s">
        <v>1270</v>
      </c>
      <c r="C225" s="46" t="s">
        <v>1481</v>
      </c>
      <c r="D225" s="46" t="s">
        <v>569</v>
      </c>
      <c r="E225" s="46" t="s">
        <v>1573</v>
      </c>
      <c r="F225" s="46" t="s">
        <v>1574</v>
      </c>
      <c r="G225" s="46"/>
      <c r="H225" s="46" t="s">
        <v>1066</v>
      </c>
      <c r="I225" s="46" t="s">
        <v>1066</v>
      </c>
      <c r="J225" s="46"/>
      <c r="K225" s="46"/>
      <c r="L225" s="46"/>
      <c r="M225" s="46"/>
      <c r="N225" s="46"/>
      <c r="O225" s="46"/>
      <c r="P225" s="46" t="s">
        <v>1327</v>
      </c>
      <c r="Q225" s="46" t="s">
        <v>471</v>
      </c>
      <c r="R225" s="50" t="n">
        <f aca="false">FL_Abb15_17!F23</f>
        <v>22400</v>
      </c>
      <c r="S225" s="46" t="s">
        <v>1581</v>
      </c>
      <c r="T225" s="46" t="s">
        <v>37</v>
      </c>
      <c r="U225" s="46" t="s">
        <v>681</v>
      </c>
      <c r="V225" s="46" t="s">
        <v>1275</v>
      </c>
      <c r="W225" s="46" t="s">
        <v>1475</v>
      </c>
      <c r="X225" s="46" t="s">
        <v>1476</v>
      </c>
      <c r="Y225" s="46" t="s">
        <v>1582</v>
      </c>
    </row>
    <row r="226" customFormat="false" ht="15" hidden="false" customHeight="false" outlineLevel="0" collapsed="false">
      <c r="A226" s="46" t="s">
        <v>1583</v>
      </c>
      <c r="B226" s="46" t="s">
        <v>1270</v>
      </c>
      <c r="C226" s="46" t="s">
        <v>1471</v>
      </c>
      <c r="D226" s="46" t="s">
        <v>569</v>
      </c>
      <c r="E226" s="46" t="s">
        <v>1573</v>
      </c>
      <c r="F226" s="46" t="s">
        <v>1574</v>
      </c>
      <c r="G226" s="46"/>
      <c r="H226" s="46" t="s">
        <v>1070</v>
      </c>
      <c r="I226" s="46" t="s">
        <v>1066</v>
      </c>
      <c r="J226" s="46"/>
      <c r="K226" s="46"/>
      <c r="L226" s="46"/>
      <c r="M226" s="46"/>
      <c r="N226" s="46"/>
      <c r="O226" s="46"/>
      <c r="P226" s="46" t="s">
        <v>1315</v>
      </c>
      <c r="Q226" s="46" t="s">
        <v>471</v>
      </c>
      <c r="R226" s="50" t="n">
        <f aca="false">FL_Abb15_17!D24</f>
        <v>19600</v>
      </c>
      <c r="S226" s="46" t="s">
        <v>1584</v>
      </c>
      <c r="T226" s="46" t="s">
        <v>37</v>
      </c>
      <c r="U226" s="46" t="s">
        <v>681</v>
      </c>
      <c r="V226" s="46" t="s">
        <v>1275</v>
      </c>
      <c r="W226" s="46" t="s">
        <v>1475</v>
      </c>
      <c r="X226" s="46" t="s">
        <v>1476</v>
      </c>
      <c r="Y226" s="46" t="s">
        <v>1585</v>
      </c>
    </row>
    <row r="227" customFormat="false" ht="15" hidden="false" customHeight="false" outlineLevel="0" collapsed="false">
      <c r="A227" s="46" t="s">
        <v>1586</v>
      </c>
      <c r="B227" s="46" t="s">
        <v>1270</v>
      </c>
      <c r="C227" s="46" t="s">
        <v>1478</v>
      </c>
      <c r="D227" s="46" t="s">
        <v>569</v>
      </c>
      <c r="E227" s="46" t="s">
        <v>1573</v>
      </c>
      <c r="F227" s="46" t="s">
        <v>1574</v>
      </c>
      <c r="G227" s="46"/>
      <c r="H227" s="46" t="s">
        <v>1070</v>
      </c>
      <c r="I227" s="46" t="s">
        <v>1066</v>
      </c>
      <c r="J227" s="46"/>
      <c r="K227" s="46"/>
      <c r="L227" s="46"/>
      <c r="M227" s="46"/>
      <c r="N227" s="46"/>
      <c r="O227" s="46"/>
      <c r="P227" s="46" t="s">
        <v>1273</v>
      </c>
      <c r="Q227" s="46" t="s">
        <v>471</v>
      </c>
      <c r="R227" s="50" t="n">
        <f aca="false">FL_Abb15_17!E24</f>
        <v>19800</v>
      </c>
      <c r="S227" s="46" t="s">
        <v>1575</v>
      </c>
      <c r="T227" s="46" t="s">
        <v>37</v>
      </c>
      <c r="U227" s="46" t="s">
        <v>681</v>
      </c>
      <c r="V227" s="46" t="s">
        <v>1275</v>
      </c>
      <c r="W227" s="46" t="s">
        <v>1475</v>
      </c>
      <c r="X227" s="46" t="s">
        <v>1476</v>
      </c>
      <c r="Y227" s="46" t="s">
        <v>1587</v>
      </c>
    </row>
    <row r="228" customFormat="false" ht="15" hidden="false" customHeight="false" outlineLevel="0" collapsed="false">
      <c r="A228" s="46" t="s">
        <v>1588</v>
      </c>
      <c r="B228" s="46" t="s">
        <v>1270</v>
      </c>
      <c r="C228" s="46" t="s">
        <v>1481</v>
      </c>
      <c r="D228" s="46" t="s">
        <v>569</v>
      </c>
      <c r="E228" s="46" t="s">
        <v>1573</v>
      </c>
      <c r="F228" s="46" t="s">
        <v>1574</v>
      </c>
      <c r="G228" s="46"/>
      <c r="H228" s="46" t="s">
        <v>1070</v>
      </c>
      <c r="I228" s="46" t="s">
        <v>1066</v>
      </c>
      <c r="J228" s="46"/>
      <c r="K228" s="46"/>
      <c r="L228" s="46"/>
      <c r="M228" s="46"/>
      <c r="N228" s="46"/>
      <c r="O228" s="46"/>
      <c r="P228" s="46" t="s">
        <v>1327</v>
      </c>
      <c r="Q228" s="46" t="s">
        <v>471</v>
      </c>
      <c r="R228" s="50" t="n">
        <f aca="false">FL_Abb15_17!F24</f>
        <v>19800</v>
      </c>
      <c r="S228" s="46" t="s">
        <v>1575</v>
      </c>
      <c r="T228" s="46" t="s">
        <v>37</v>
      </c>
      <c r="U228" s="46" t="s">
        <v>681</v>
      </c>
      <c r="V228" s="46" t="s">
        <v>1275</v>
      </c>
      <c r="W228" s="46" t="s">
        <v>1475</v>
      </c>
      <c r="X228" s="46" t="s">
        <v>1476</v>
      </c>
      <c r="Y228" s="46" t="s">
        <v>1589</v>
      </c>
    </row>
    <row r="229" customFormat="false" ht="15" hidden="false" customHeight="false" outlineLevel="0" collapsed="false">
      <c r="A229" s="46" t="s">
        <v>1590</v>
      </c>
      <c r="B229" s="46" t="s">
        <v>1270</v>
      </c>
      <c r="C229" s="46" t="s">
        <v>1471</v>
      </c>
      <c r="D229" s="46" t="s">
        <v>569</v>
      </c>
      <c r="E229" s="46" t="s">
        <v>1573</v>
      </c>
      <c r="F229" s="46" t="s">
        <v>1574</v>
      </c>
      <c r="G229" s="46"/>
      <c r="H229" s="46" t="s">
        <v>1073</v>
      </c>
      <c r="I229" s="46" t="s">
        <v>1066</v>
      </c>
      <c r="J229" s="46"/>
      <c r="K229" s="46"/>
      <c r="L229" s="46"/>
      <c r="M229" s="46"/>
      <c r="N229" s="46"/>
      <c r="O229" s="46"/>
      <c r="P229" s="46" t="s">
        <v>1315</v>
      </c>
      <c r="Q229" s="46" t="s">
        <v>471</v>
      </c>
      <c r="R229" s="50" t="n">
        <f aca="false">FL_Abb15_17!D25</f>
        <v>19800</v>
      </c>
      <c r="S229" s="46" t="s">
        <v>1575</v>
      </c>
      <c r="T229" s="46" t="s">
        <v>37</v>
      </c>
      <c r="U229" s="46" t="s">
        <v>681</v>
      </c>
      <c r="V229" s="46" t="s">
        <v>1275</v>
      </c>
      <c r="W229" s="46" t="s">
        <v>1475</v>
      </c>
      <c r="X229" s="46" t="s">
        <v>1476</v>
      </c>
      <c r="Y229" s="46" t="s">
        <v>1591</v>
      </c>
    </row>
    <row r="230" customFormat="false" ht="15" hidden="false" customHeight="false" outlineLevel="0" collapsed="false">
      <c r="A230" s="46" t="s">
        <v>1592</v>
      </c>
      <c r="B230" s="46" t="s">
        <v>1270</v>
      </c>
      <c r="C230" s="46" t="s">
        <v>1478</v>
      </c>
      <c r="D230" s="46" t="s">
        <v>569</v>
      </c>
      <c r="E230" s="46" t="s">
        <v>1573</v>
      </c>
      <c r="F230" s="46" t="s">
        <v>1593</v>
      </c>
      <c r="G230" s="46"/>
      <c r="H230" s="46" t="s">
        <v>1073</v>
      </c>
      <c r="I230" s="46" t="s">
        <v>1066</v>
      </c>
      <c r="J230" s="46"/>
      <c r="K230" s="46"/>
      <c r="L230" s="46"/>
      <c r="M230" s="46"/>
      <c r="N230" s="46"/>
      <c r="O230" s="46"/>
      <c r="P230" s="46" t="s">
        <v>1273</v>
      </c>
      <c r="Q230" s="46" t="s">
        <v>471</v>
      </c>
      <c r="R230" s="46"/>
      <c r="S230" s="46" t="s">
        <v>1594</v>
      </c>
      <c r="T230" s="46" t="s">
        <v>1595</v>
      </c>
      <c r="U230" s="46"/>
      <c r="V230" s="46" t="s">
        <v>1275</v>
      </c>
      <c r="W230" s="46" t="s">
        <v>1596</v>
      </c>
      <c r="X230" s="46" t="s">
        <v>1476</v>
      </c>
      <c r="Y230" s="46" t="s">
        <v>1597</v>
      </c>
    </row>
    <row r="231" customFormat="false" ht="15" hidden="false" customHeight="false" outlineLevel="0" collapsed="false">
      <c r="A231" s="46" t="s">
        <v>1598</v>
      </c>
      <c r="B231" s="46" t="s">
        <v>1270</v>
      </c>
      <c r="C231" s="46" t="s">
        <v>1481</v>
      </c>
      <c r="D231" s="46" t="s">
        <v>569</v>
      </c>
      <c r="E231" s="46" t="s">
        <v>1573</v>
      </c>
      <c r="F231" s="46" t="s">
        <v>1593</v>
      </c>
      <c r="G231" s="46"/>
      <c r="H231" s="46" t="s">
        <v>1073</v>
      </c>
      <c r="I231" s="46" t="s">
        <v>1066</v>
      </c>
      <c r="J231" s="46"/>
      <c r="K231" s="46"/>
      <c r="L231" s="46"/>
      <c r="M231" s="46"/>
      <c r="N231" s="46"/>
      <c r="O231" s="46"/>
      <c r="P231" s="46" t="s">
        <v>1327</v>
      </c>
      <c r="Q231" s="46" t="s">
        <v>471</v>
      </c>
      <c r="R231" s="46"/>
      <c r="S231" s="46" t="s">
        <v>1599</v>
      </c>
      <c r="T231" s="46" t="s">
        <v>1595</v>
      </c>
      <c r="U231" s="46"/>
      <c r="V231" s="46" t="s">
        <v>1275</v>
      </c>
      <c r="W231" s="46" t="s">
        <v>1596</v>
      </c>
      <c r="X231" s="46" t="s">
        <v>1476</v>
      </c>
      <c r="Y231" s="46" t="s">
        <v>1600</v>
      </c>
    </row>
    <row r="232" customFormat="false" ht="15" hidden="false" customHeight="false" outlineLevel="0" collapsed="false">
      <c r="A232" s="46" t="s">
        <v>1601</v>
      </c>
      <c r="B232" s="46" t="s">
        <v>1270</v>
      </c>
      <c r="C232" s="46" t="s">
        <v>1471</v>
      </c>
      <c r="D232" s="46" t="s">
        <v>569</v>
      </c>
      <c r="E232" s="46" t="s">
        <v>1573</v>
      </c>
      <c r="F232" s="46" t="s">
        <v>1574</v>
      </c>
      <c r="G232" s="46"/>
      <c r="H232" s="46" t="s">
        <v>1066</v>
      </c>
      <c r="I232" s="46" t="s">
        <v>1070</v>
      </c>
      <c r="J232" s="46"/>
      <c r="K232" s="46"/>
      <c r="L232" s="46"/>
      <c r="M232" s="46"/>
      <c r="N232" s="46"/>
      <c r="O232" s="46"/>
      <c r="P232" s="46" t="s">
        <v>1315</v>
      </c>
      <c r="Q232" s="46" t="s">
        <v>471</v>
      </c>
      <c r="R232" s="50" t="n">
        <f aca="false">FL_Abb15_17!D26</f>
        <v>20700</v>
      </c>
      <c r="S232" s="46" t="s">
        <v>1602</v>
      </c>
      <c r="T232" s="46" t="s">
        <v>37</v>
      </c>
      <c r="U232" s="46" t="s">
        <v>681</v>
      </c>
      <c r="V232" s="46" t="s">
        <v>1275</v>
      </c>
      <c r="W232" s="46" t="s">
        <v>1475</v>
      </c>
      <c r="X232" s="46" t="s">
        <v>1476</v>
      </c>
      <c r="Y232" s="46" t="s">
        <v>1603</v>
      </c>
    </row>
    <row r="233" customFormat="false" ht="15" hidden="false" customHeight="false" outlineLevel="0" collapsed="false">
      <c r="A233" s="46" t="s">
        <v>1604</v>
      </c>
      <c r="B233" s="46" t="s">
        <v>1270</v>
      </c>
      <c r="C233" s="46" t="s">
        <v>1478</v>
      </c>
      <c r="D233" s="46" t="s">
        <v>569</v>
      </c>
      <c r="E233" s="46" t="s">
        <v>1573</v>
      </c>
      <c r="F233" s="46" t="s">
        <v>1574</v>
      </c>
      <c r="G233" s="46"/>
      <c r="H233" s="46" t="s">
        <v>1066</v>
      </c>
      <c r="I233" s="46" t="s">
        <v>1070</v>
      </c>
      <c r="J233" s="46"/>
      <c r="K233" s="46"/>
      <c r="L233" s="46"/>
      <c r="M233" s="46"/>
      <c r="N233" s="46"/>
      <c r="O233" s="46"/>
      <c r="P233" s="46" t="s">
        <v>1273</v>
      </c>
      <c r="Q233" s="46" t="s">
        <v>471</v>
      </c>
      <c r="R233" s="50" t="n">
        <f aca="false">FL_Abb15_17!E26</f>
        <v>23000</v>
      </c>
      <c r="S233" s="46" t="s">
        <v>1605</v>
      </c>
      <c r="T233" s="46" t="s">
        <v>37</v>
      </c>
      <c r="U233" s="46" t="s">
        <v>681</v>
      </c>
      <c r="V233" s="46" t="s">
        <v>1275</v>
      </c>
      <c r="W233" s="46" t="s">
        <v>1475</v>
      </c>
      <c r="X233" s="46" t="s">
        <v>1476</v>
      </c>
      <c r="Y233" s="46" t="s">
        <v>1606</v>
      </c>
    </row>
    <row r="234" customFormat="false" ht="15" hidden="false" customHeight="false" outlineLevel="0" collapsed="false">
      <c r="A234" s="46" t="s">
        <v>1607</v>
      </c>
      <c r="B234" s="46" t="s">
        <v>1270</v>
      </c>
      <c r="C234" s="46" t="s">
        <v>1481</v>
      </c>
      <c r="D234" s="46" t="s">
        <v>569</v>
      </c>
      <c r="E234" s="46" t="s">
        <v>1573</v>
      </c>
      <c r="F234" s="46" t="s">
        <v>1574</v>
      </c>
      <c r="G234" s="46"/>
      <c r="H234" s="46" t="s">
        <v>1066</v>
      </c>
      <c r="I234" s="46" t="s">
        <v>1070</v>
      </c>
      <c r="J234" s="46"/>
      <c r="K234" s="46"/>
      <c r="L234" s="46"/>
      <c r="M234" s="46"/>
      <c r="N234" s="46"/>
      <c r="O234" s="46"/>
      <c r="P234" s="46" t="s">
        <v>1327</v>
      </c>
      <c r="Q234" s="46" t="s">
        <v>471</v>
      </c>
      <c r="R234" s="50" t="n">
        <f aca="false">FL_Abb15_17!F26</f>
        <v>23100</v>
      </c>
      <c r="S234" s="46" t="s">
        <v>1608</v>
      </c>
      <c r="T234" s="46" t="s">
        <v>37</v>
      </c>
      <c r="U234" s="46" t="s">
        <v>681</v>
      </c>
      <c r="V234" s="46" t="s">
        <v>1275</v>
      </c>
      <c r="W234" s="46" t="s">
        <v>1475</v>
      </c>
      <c r="X234" s="46" t="s">
        <v>1476</v>
      </c>
      <c r="Y234" s="46" t="s">
        <v>1609</v>
      </c>
    </row>
    <row r="235" customFormat="false" ht="15" hidden="false" customHeight="false" outlineLevel="0" collapsed="false">
      <c r="A235" s="46" t="s">
        <v>1610</v>
      </c>
      <c r="B235" s="46" t="s">
        <v>1270</v>
      </c>
      <c r="C235" s="46" t="s">
        <v>1471</v>
      </c>
      <c r="D235" s="46" t="s">
        <v>569</v>
      </c>
      <c r="E235" s="46" t="s">
        <v>1573</v>
      </c>
      <c r="F235" s="46" t="s">
        <v>1574</v>
      </c>
      <c r="G235" s="46"/>
      <c r="H235" s="46" t="s">
        <v>1070</v>
      </c>
      <c r="I235" s="46" t="s">
        <v>1070</v>
      </c>
      <c r="J235" s="46"/>
      <c r="K235" s="46"/>
      <c r="L235" s="46"/>
      <c r="M235" s="46"/>
      <c r="N235" s="46"/>
      <c r="O235" s="46"/>
      <c r="P235" s="46" t="s">
        <v>1315</v>
      </c>
      <c r="Q235" s="46" t="s">
        <v>471</v>
      </c>
      <c r="R235" s="50" t="n">
        <f aca="false">FL_Abb15_17!D27</f>
        <v>21600</v>
      </c>
      <c r="S235" s="46" t="s">
        <v>1611</v>
      </c>
      <c r="T235" s="46" t="s">
        <v>37</v>
      </c>
      <c r="U235" s="46" t="s">
        <v>681</v>
      </c>
      <c r="V235" s="46" t="s">
        <v>1275</v>
      </c>
      <c r="W235" s="46" t="s">
        <v>1475</v>
      </c>
      <c r="X235" s="46" t="s">
        <v>1476</v>
      </c>
      <c r="Y235" s="46" t="s">
        <v>1612</v>
      </c>
    </row>
    <row r="236" customFormat="false" ht="15" hidden="false" customHeight="false" outlineLevel="0" collapsed="false">
      <c r="A236" s="46" t="s">
        <v>1613</v>
      </c>
      <c r="B236" s="46" t="s">
        <v>1270</v>
      </c>
      <c r="C236" s="46" t="s">
        <v>1478</v>
      </c>
      <c r="D236" s="46" t="s">
        <v>569</v>
      </c>
      <c r="E236" s="46" t="s">
        <v>1573</v>
      </c>
      <c r="F236" s="46" t="s">
        <v>1574</v>
      </c>
      <c r="G236" s="46"/>
      <c r="H236" s="46" t="s">
        <v>1070</v>
      </c>
      <c r="I236" s="46" t="s">
        <v>1070</v>
      </c>
      <c r="J236" s="46"/>
      <c r="K236" s="46"/>
      <c r="L236" s="46"/>
      <c r="M236" s="46"/>
      <c r="N236" s="46"/>
      <c r="O236" s="46"/>
      <c r="P236" s="46" t="s">
        <v>1273</v>
      </c>
      <c r="Q236" s="46" t="s">
        <v>471</v>
      </c>
      <c r="R236" s="50" t="n">
        <f aca="false">FL_Abb15_17!E27</f>
        <v>21800</v>
      </c>
      <c r="S236" s="46" t="s">
        <v>1614</v>
      </c>
      <c r="T236" s="46" t="s">
        <v>37</v>
      </c>
      <c r="U236" s="46" t="s">
        <v>681</v>
      </c>
      <c r="V236" s="46" t="s">
        <v>1275</v>
      </c>
      <c r="W236" s="46" t="s">
        <v>1475</v>
      </c>
      <c r="X236" s="46" t="s">
        <v>1476</v>
      </c>
      <c r="Y236" s="46" t="s">
        <v>1615</v>
      </c>
    </row>
    <row r="237" customFormat="false" ht="15" hidden="false" customHeight="false" outlineLevel="0" collapsed="false">
      <c r="A237" s="46" t="s">
        <v>1616</v>
      </c>
      <c r="B237" s="46" t="s">
        <v>1270</v>
      </c>
      <c r="C237" s="46" t="s">
        <v>1481</v>
      </c>
      <c r="D237" s="46" t="s">
        <v>569</v>
      </c>
      <c r="E237" s="46" t="s">
        <v>1573</v>
      </c>
      <c r="F237" s="46" t="s">
        <v>1574</v>
      </c>
      <c r="G237" s="46"/>
      <c r="H237" s="46" t="s">
        <v>1070</v>
      </c>
      <c r="I237" s="46" t="s">
        <v>1070</v>
      </c>
      <c r="J237" s="46"/>
      <c r="K237" s="46"/>
      <c r="L237" s="46"/>
      <c r="M237" s="46"/>
      <c r="N237" s="46"/>
      <c r="O237" s="46"/>
      <c r="P237" s="46" t="s">
        <v>1327</v>
      </c>
      <c r="Q237" s="46" t="s">
        <v>471</v>
      </c>
      <c r="R237" s="50" t="n">
        <f aca="false">FL_Abb15_17!F27</f>
        <v>21600</v>
      </c>
      <c r="S237" s="46" t="s">
        <v>1611</v>
      </c>
      <c r="T237" s="46" t="s">
        <v>37</v>
      </c>
      <c r="U237" s="46" t="s">
        <v>681</v>
      </c>
      <c r="V237" s="46" t="s">
        <v>1275</v>
      </c>
      <c r="W237" s="46" t="s">
        <v>1475</v>
      </c>
      <c r="X237" s="46" t="s">
        <v>1476</v>
      </c>
      <c r="Y237" s="46" t="s">
        <v>1617</v>
      </c>
    </row>
    <row r="238" customFormat="false" ht="15" hidden="false" customHeight="false" outlineLevel="0" collapsed="false">
      <c r="A238" s="46" t="s">
        <v>1618</v>
      </c>
      <c r="B238" s="46" t="s">
        <v>1270</v>
      </c>
      <c r="C238" s="46" t="s">
        <v>1471</v>
      </c>
      <c r="D238" s="46" t="s">
        <v>569</v>
      </c>
      <c r="E238" s="46" t="s">
        <v>1573</v>
      </c>
      <c r="F238" s="46" t="s">
        <v>1574</v>
      </c>
      <c r="G238" s="46"/>
      <c r="H238" s="46" t="s">
        <v>1073</v>
      </c>
      <c r="I238" s="46" t="s">
        <v>1070</v>
      </c>
      <c r="J238" s="46"/>
      <c r="K238" s="46"/>
      <c r="L238" s="46"/>
      <c r="M238" s="46"/>
      <c r="N238" s="46"/>
      <c r="O238" s="46"/>
      <c r="P238" s="46" t="s">
        <v>1315</v>
      </c>
      <c r="Q238" s="46" t="s">
        <v>471</v>
      </c>
      <c r="R238" s="50" t="n">
        <f aca="false">FL_Abb15_17!D28</f>
        <v>22100</v>
      </c>
      <c r="S238" s="46" t="s">
        <v>1619</v>
      </c>
      <c r="T238" s="46" t="s">
        <v>37</v>
      </c>
      <c r="U238" s="46" t="s">
        <v>1620</v>
      </c>
      <c r="V238" s="46" t="s">
        <v>1275</v>
      </c>
      <c r="W238" s="46" t="s">
        <v>1475</v>
      </c>
      <c r="X238" s="46" t="s">
        <v>1476</v>
      </c>
      <c r="Y238" s="46" t="s">
        <v>1621</v>
      </c>
    </row>
    <row r="239" customFormat="false" ht="15" hidden="false" customHeight="false" outlineLevel="0" collapsed="false">
      <c r="A239" s="46" t="s">
        <v>1622</v>
      </c>
      <c r="B239" s="46" t="s">
        <v>1270</v>
      </c>
      <c r="C239" s="46" t="s">
        <v>1478</v>
      </c>
      <c r="D239" s="46" t="s">
        <v>569</v>
      </c>
      <c r="E239" s="46" t="s">
        <v>1573</v>
      </c>
      <c r="F239" s="46" t="s">
        <v>1574</v>
      </c>
      <c r="G239" s="46"/>
      <c r="H239" s="46" t="s">
        <v>1073</v>
      </c>
      <c r="I239" s="46" t="s">
        <v>1070</v>
      </c>
      <c r="J239" s="46"/>
      <c r="K239" s="46"/>
      <c r="L239" s="46"/>
      <c r="M239" s="46"/>
      <c r="N239" s="46"/>
      <c r="O239" s="46"/>
      <c r="P239" s="46" t="s">
        <v>1273</v>
      </c>
      <c r="Q239" s="46" t="s">
        <v>471</v>
      </c>
      <c r="R239" s="50" t="n">
        <f aca="false">FL_Abb15_17!E28</f>
        <v>22200</v>
      </c>
      <c r="S239" s="46" t="s">
        <v>1623</v>
      </c>
      <c r="T239" s="46" t="s">
        <v>37</v>
      </c>
      <c r="U239" s="46" t="s">
        <v>1620</v>
      </c>
      <c r="V239" s="46" t="s">
        <v>1275</v>
      </c>
      <c r="W239" s="46" t="s">
        <v>1475</v>
      </c>
      <c r="X239" s="46" t="s">
        <v>1476</v>
      </c>
      <c r="Y239" s="46" t="s">
        <v>1624</v>
      </c>
    </row>
    <row r="240" customFormat="false" ht="15" hidden="false" customHeight="false" outlineLevel="0" collapsed="false">
      <c r="A240" s="46" t="s">
        <v>1625</v>
      </c>
      <c r="B240" s="46" t="s">
        <v>1270</v>
      </c>
      <c r="C240" s="46" t="s">
        <v>1481</v>
      </c>
      <c r="D240" s="46" t="s">
        <v>569</v>
      </c>
      <c r="E240" s="46" t="s">
        <v>1573</v>
      </c>
      <c r="F240" s="46" t="s">
        <v>1574</v>
      </c>
      <c r="G240" s="46"/>
      <c r="H240" s="46" t="s">
        <v>1073</v>
      </c>
      <c r="I240" s="46" t="s">
        <v>1070</v>
      </c>
      <c r="J240" s="46"/>
      <c r="K240" s="46"/>
      <c r="L240" s="46"/>
      <c r="M240" s="46"/>
      <c r="N240" s="46"/>
      <c r="O240" s="46"/>
      <c r="P240" s="46" t="s">
        <v>1327</v>
      </c>
      <c r="Q240" s="46" t="s">
        <v>471</v>
      </c>
      <c r="R240" s="50" t="n">
        <f aca="false">FL_Abb15_17!F28</f>
        <v>22100</v>
      </c>
      <c r="S240" s="46" t="s">
        <v>1619</v>
      </c>
      <c r="T240" s="46" t="s">
        <v>37</v>
      </c>
      <c r="U240" s="46" t="s">
        <v>681</v>
      </c>
      <c r="V240" s="46" t="s">
        <v>1275</v>
      </c>
      <c r="W240" s="46" t="s">
        <v>1475</v>
      </c>
      <c r="X240" s="46" t="s">
        <v>1476</v>
      </c>
      <c r="Y240" s="46" t="s">
        <v>1626</v>
      </c>
    </row>
    <row r="241" customFormat="false" ht="15" hidden="false" customHeight="false" outlineLevel="0" collapsed="false">
      <c r="A241" s="46" t="s">
        <v>1627</v>
      </c>
      <c r="B241" s="46" t="s">
        <v>1270</v>
      </c>
      <c r="C241" s="46" t="s">
        <v>1471</v>
      </c>
      <c r="D241" s="46" t="s">
        <v>569</v>
      </c>
      <c r="E241" s="46" t="s">
        <v>1573</v>
      </c>
      <c r="F241" s="46" t="s">
        <v>1574</v>
      </c>
      <c r="G241" s="46"/>
      <c r="H241" s="46" t="s">
        <v>1066</v>
      </c>
      <c r="I241" s="46" t="s">
        <v>1073</v>
      </c>
      <c r="J241" s="46"/>
      <c r="K241" s="46"/>
      <c r="L241" s="46"/>
      <c r="M241" s="46"/>
      <c r="N241" s="46"/>
      <c r="O241" s="46"/>
      <c r="P241" s="46" t="s">
        <v>1315</v>
      </c>
      <c r="Q241" s="46" t="s">
        <v>471</v>
      </c>
      <c r="R241" s="50" t="n">
        <f aca="false">FL_Abb15_17!D29</f>
        <v>29700</v>
      </c>
      <c r="S241" s="46" t="s">
        <v>1628</v>
      </c>
      <c r="T241" s="46" t="s">
        <v>37</v>
      </c>
      <c r="U241" s="46" t="s">
        <v>681</v>
      </c>
      <c r="V241" s="46" t="s">
        <v>1275</v>
      </c>
      <c r="W241" s="46" t="s">
        <v>1475</v>
      </c>
      <c r="X241" s="46" t="s">
        <v>1476</v>
      </c>
      <c r="Y241" s="46" t="s">
        <v>1629</v>
      </c>
    </row>
    <row r="242" customFormat="false" ht="15" hidden="false" customHeight="false" outlineLevel="0" collapsed="false">
      <c r="A242" s="46" t="s">
        <v>1630</v>
      </c>
      <c r="B242" s="46" t="s">
        <v>1270</v>
      </c>
      <c r="C242" s="46" t="s">
        <v>1478</v>
      </c>
      <c r="D242" s="46" t="s">
        <v>569</v>
      </c>
      <c r="E242" s="46" t="s">
        <v>1573</v>
      </c>
      <c r="F242" s="46" t="s">
        <v>1574</v>
      </c>
      <c r="G242" s="46"/>
      <c r="H242" s="46" t="s">
        <v>1066</v>
      </c>
      <c r="I242" s="46" t="s">
        <v>1073</v>
      </c>
      <c r="J242" s="46"/>
      <c r="K242" s="46"/>
      <c r="L242" s="46"/>
      <c r="M242" s="46"/>
      <c r="N242" s="46"/>
      <c r="O242" s="46"/>
      <c r="P242" s="46" t="s">
        <v>1273</v>
      </c>
      <c r="Q242" s="46" t="s">
        <v>471</v>
      </c>
      <c r="R242" s="50" t="n">
        <f aca="false">FL_Abb15_17!E29</f>
        <v>29800</v>
      </c>
      <c r="S242" s="46" t="s">
        <v>1631</v>
      </c>
      <c r="T242" s="46" t="s">
        <v>37</v>
      </c>
      <c r="U242" s="46" t="s">
        <v>681</v>
      </c>
      <c r="V242" s="46" t="s">
        <v>1275</v>
      </c>
      <c r="W242" s="46" t="s">
        <v>1475</v>
      </c>
      <c r="X242" s="46" t="s">
        <v>1476</v>
      </c>
      <c r="Y242" s="46" t="s">
        <v>1632</v>
      </c>
    </row>
    <row r="243" customFormat="false" ht="15" hidden="false" customHeight="false" outlineLevel="0" collapsed="false">
      <c r="A243" s="46" t="s">
        <v>1633</v>
      </c>
      <c r="B243" s="46" t="s">
        <v>1270</v>
      </c>
      <c r="C243" s="46" t="s">
        <v>1481</v>
      </c>
      <c r="D243" s="46" t="s">
        <v>569</v>
      </c>
      <c r="E243" s="46" t="s">
        <v>1573</v>
      </c>
      <c r="F243" s="46" t="s">
        <v>1574</v>
      </c>
      <c r="G243" s="46"/>
      <c r="H243" s="46" t="s">
        <v>1066</v>
      </c>
      <c r="I243" s="46" t="s">
        <v>1073</v>
      </c>
      <c r="J243" s="46"/>
      <c r="K243" s="46"/>
      <c r="L243" s="46"/>
      <c r="M243" s="46"/>
      <c r="N243" s="46"/>
      <c r="O243" s="46"/>
      <c r="P243" s="46" t="s">
        <v>1327</v>
      </c>
      <c r="Q243" s="46" t="s">
        <v>471</v>
      </c>
      <c r="R243" s="50" t="n">
        <f aca="false">FL_Abb15_17!F29</f>
        <v>29700</v>
      </c>
      <c r="S243" s="46" t="s">
        <v>1628</v>
      </c>
      <c r="T243" s="46" t="s">
        <v>37</v>
      </c>
      <c r="U243" s="46" t="s">
        <v>681</v>
      </c>
      <c r="V243" s="46" t="s">
        <v>1275</v>
      </c>
      <c r="W243" s="46" t="s">
        <v>1475</v>
      </c>
      <c r="X243" s="46" t="s">
        <v>1476</v>
      </c>
      <c r="Y243" s="46" t="s">
        <v>1634</v>
      </c>
    </row>
    <row r="244" customFormat="false" ht="15" hidden="false" customHeight="false" outlineLevel="0" collapsed="false">
      <c r="A244" s="46" t="s">
        <v>1635</v>
      </c>
      <c r="B244" s="46" t="s">
        <v>1270</v>
      </c>
      <c r="C244" s="46" t="s">
        <v>1471</v>
      </c>
      <c r="D244" s="46" t="s">
        <v>569</v>
      </c>
      <c r="E244" s="46" t="s">
        <v>1573</v>
      </c>
      <c r="F244" s="46" t="s">
        <v>1574</v>
      </c>
      <c r="G244" s="46"/>
      <c r="H244" s="46" t="s">
        <v>1070</v>
      </c>
      <c r="I244" s="46" t="s">
        <v>1073</v>
      </c>
      <c r="J244" s="46"/>
      <c r="K244" s="46"/>
      <c r="L244" s="46"/>
      <c r="M244" s="46"/>
      <c r="N244" s="46"/>
      <c r="O244" s="46"/>
      <c r="P244" s="46" t="s">
        <v>1315</v>
      </c>
      <c r="Q244" s="46" t="s">
        <v>471</v>
      </c>
      <c r="R244" s="50" t="n">
        <f aca="false">FL_Abb15_17!D30</f>
        <v>29700</v>
      </c>
      <c r="S244" s="46" t="s">
        <v>1628</v>
      </c>
      <c r="T244" s="46" t="s">
        <v>37</v>
      </c>
      <c r="U244" s="46" t="s">
        <v>681</v>
      </c>
      <c r="V244" s="46" t="s">
        <v>1275</v>
      </c>
      <c r="W244" s="46" t="s">
        <v>1475</v>
      </c>
      <c r="X244" s="46" t="s">
        <v>1476</v>
      </c>
      <c r="Y244" s="46" t="s">
        <v>1636</v>
      </c>
    </row>
    <row r="245" customFormat="false" ht="15" hidden="false" customHeight="false" outlineLevel="0" collapsed="false">
      <c r="A245" s="46" t="s">
        <v>1637</v>
      </c>
      <c r="B245" s="46" t="s">
        <v>1270</v>
      </c>
      <c r="C245" s="46" t="s">
        <v>1478</v>
      </c>
      <c r="D245" s="46" t="s">
        <v>569</v>
      </c>
      <c r="E245" s="46" t="s">
        <v>1573</v>
      </c>
      <c r="F245" s="46" t="s">
        <v>1574</v>
      </c>
      <c r="G245" s="46"/>
      <c r="H245" s="46" t="s">
        <v>1070</v>
      </c>
      <c r="I245" s="46" t="s">
        <v>1073</v>
      </c>
      <c r="J245" s="46"/>
      <c r="K245" s="46"/>
      <c r="L245" s="46"/>
      <c r="M245" s="46"/>
      <c r="N245" s="46"/>
      <c r="O245" s="46"/>
      <c r="P245" s="46" t="s">
        <v>1273</v>
      </c>
      <c r="Q245" s="46" t="s">
        <v>471</v>
      </c>
      <c r="R245" s="50" t="n">
        <f aca="false">FL_Abb15_17!E30</f>
        <v>29900</v>
      </c>
      <c r="S245" s="46" t="s">
        <v>1638</v>
      </c>
      <c r="T245" s="46" t="s">
        <v>37</v>
      </c>
      <c r="U245" s="46" t="s">
        <v>681</v>
      </c>
      <c r="V245" s="46" t="s">
        <v>1275</v>
      </c>
      <c r="W245" s="46" t="s">
        <v>1475</v>
      </c>
      <c r="X245" s="46" t="s">
        <v>1476</v>
      </c>
      <c r="Y245" s="46" t="s">
        <v>1639</v>
      </c>
    </row>
    <row r="246" customFormat="false" ht="15" hidden="false" customHeight="false" outlineLevel="0" collapsed="false">
      <c r="A246" s="46" t="s">
        <v>1640</v>
      </c>
      <c r="B246" s="46" t="s">
        <v>1270</v>
      </c>
      <c r="C246" s="46" t="s">
        <v>1481</v>
      </c>
      <c r="D246" s="46" t="s">
        <v>569</v>
      </c>
      <c r="E246" s="46" t="s">
        <v>1573</v>
      </c>
      <c r="F246" s="46" t="s">
        <v>1574</v>
      </c>
      <c r="G246" s="46"/>
      <c r="H246" s="46" t="s">
        <v>1070</v>
      </c>
      <c r="I246" s="46" t="s">
        <v>1073</v>
      </c>
      <c r="J246" s="46"/>
      <c r="K246" s="46"/>
      <c r="L246" s="46"/>
      <c r="M246" s="46"/>
      <c r="N246" s="46"/>
      <c r="O246" s="46"/>
      <c r="P246" s="46" t="s">
        <v>1327</v>
      </c>
      <c r="Q246" s="46" t="s">
        <v>471</v>
      </c>
      <c r="R246" s="50" t="n">
        <f aca="false">FL_Abb15_17!F30</f>
        <v>29800</v>
      </c>
      <c r="S246" s="46" t="s">
        <v>1631</v>
      </c>
      <c r="T246" s="46" t="s">
        <v>37</v>
      </c>
      <c r="U246" s="46" t="s">
        <v>681</v>
      </c>
      <c r="V246" s="46" t="s">
        <v>1275</v>
      </c>
      <c r="W246" s="46" t="s">
        <v>1475</v>
      </c>
      <c r="X246" s="46" t="s">
        <v>1476</v>
      </c>
      <c r="Y246" s="46" t="s">
        <v>1641</v>
      </c>
    </row>
    <row r="247" customFormat="false" ht="15" hidden="false" customHeight="false" outlineLevel="0" collapsed="false">
      <c r="A247" s="46" t="s">
        <v>1642</v>
      </c>
      <c r="B247" s="46" t="s">
        <v>1270</v>
      </c>
      <c r="C247" s="46" t="s">
        <v>1471</v>
      </c>
      <c r="D247" s="46" t="s">
        <v>569</v>
      </c>
      <c r="E247" s="46" t="s">
        <v>1573</v>
      </c>
      <c r="F247" s="46" t="s">
        <v>1574</v>
      </c>
      <c r="G247" s="46"/>
      <c r="H247" s="46" t="s">
        <v>1073</v>
      </c>
      <c r="I247" s="46" t="s">
        <v>1073</v>
      </c>
      <c r="J247" s="46"/>
      <c r="K247" s="46"/>
      <c r="L247" s="46"/>
      <c r="M247" s="46"/>
      <c r="N247" s="46"/>
      <c r="O247" s="46"/>
      <c r="P247" s="46" t="s">
        <v>1315</v>
      </c>
      <c r="Q247" s="46" t="s">
        <v>471</v>
      </c>
      <c r="R247" s="50" t="n">
        <f aca="false">FL_Abb15_17!D31</f>
        <v>29900</v>
      </c>
      <c r="S247" s="46" t="s">
        <v>1638</v>
      </c>
      <c r="T247" s="46" t="s">
        <v>37</v>
      </c>
      <c r="U247" s="46" t="s">
        <v>681</v>
      </c>
      <c r="V247" s="46" t="s">
        <v>1275</v>
      </c>
      <c r="W247" s="46" t="s">
        <v>1475</v>
      </c>
      <c r="X247" s="46" t="s">
        <v>1476</v>
      </c>
      <c r="Y247" s="46" t="s">
        <v>1643</v>
      </c>
    </row>
    <row r="248" customFormat="false" ht="15" hidden="false" customHeight="false" outlineLevel="0" collapsed="false">
      <c r="A248" s="46" t="s">
        <v>1644</v>
      </c>
      <c r="B248" s="46" t="s">
        <v>1270</v>
      </c>
      <c r="C248" s="46" t="s">
        <v>1478</v>
      </c>
      <c r="D248" s="46" t="s">
        <v>569</v>
      </c>
      <c r="E248" s="46" t="s">
        <v>1573</v>
      </c>
      <c r="F248" s="46" t="s">
        <v>1574</v>
      </c>
      <c r="G248" s="46"/>
      <c r="H248" s="46" t="s">
        <v>1073</v>
      </c>
      <c r="I248" s="46" t="s">
        <v>1073</v>
      </c>
      <c r="J248" s="46"/>
      <c r="K248" s="46"/>
      <c r="L248" s="46"/>
      <c r="M248" s="46"/>
      <c r="N248" s="46"/>
      <c r="O248" s="46"/>
      <c r="P248" s="46" t="s">
        <v>1273</v>
      </c>
      <c r="Q248" s="46" t="s">
        <v>471</v>
      </c>
      <c r="R248" s="50" t="n">
        <f aca="false">FL_Abb15_17!E31</f>
        <v>30000</v>
      </c>
      <c r="S248" s="46" t="s">
        <v>1645</v>
      </c>
      <c r="T248" s="46" t="s">
        <v>37</v>
      </c>
      <c r="U248" s="46" t="s">
        <v>681</v>
      </c>
      <c r="V248" s="46" t="s">
        <v>1275</v>
      </c>
      <c r="W248" s="46" t="s">
        <v>1475</v>
      </c>
      <c r="X248" s="46" t="s">
        <v>1476</v>
      </c>
      <c r="Y248" s="46" t="s">
        <v>1646</v>
      </c>
    </row>
    <row r="249" customFormat="false" ht="15" hidden="false" customHeight="false" outlineLevel="0" collapsed="false">
      <c r="A249" s="46" t="s">
        <v>1647</v>
      </c>
      <c r="B249" s="46" t="s">
        <v>1270</v>
      </c>
      <c r="C249" s="46" t="s">
        <v>1481</v>
      </c>
      <c r="D249" s="46" t="s">
        <v>569</v>
      </c>
      <c r="E249" s="46" t="s">
        <v>1573</v>
      </c>
      <c r="F249" s="46" t="s">
        <v>1574</v>
      </c>
      <c r="G249" s="46"/>
      <c r="H249" s="46" t="s">
        <v>1073</v>
      </c>
      <c r="I249" s="46" t="s">
        <v>1073</v>
      </c>
      <c r="J249" s="46"/>
      <c r="K249" s="46"/>
      <c r="L249" s="46"/>
      <c r="M249" s="46"/>
      <c r="N249" s="46"/>
      <c r="O249" s="46"/>
      <c r="P249" s="46" t="s">
        <v>1327</v>
      </c>
      <c r="Q249" s="46" t="s">
        <v>471</v>
      </c>
      <c r="R249" s="50" t="n">
        <f aca="false">FL_Abb15_17!F31</f>
        <v>29900</v>
      </c>
      <c r="S249" s="46" t="s">
        <v>1638</v>
      </c>
      <c r="T249" s="46" t="s">
        <v>37</v>
      </c>
      <c r="U249" s="46" t="s">
        <v>681</v>
      </c>
      <c r="V249" s="46" t="s">
        <v>1275</v>
      </c>
      <c r="W249" s="46" t="s">
        <v>1475</v>
      </c>
      <c r="X249" s="46" t="s">
        <v>1476</v>
      </c>
      <c r="Y249" s="46" t="s">
        <v>1648</v>
      </c>
    </row>
    <row r="250" customFormat="false" ht="15" hidden="false" customHeight="false" outlineLevel="0" collapsed="false">
      <c r="A250" s="46" t="s">
        <v>1649</v>
      </c>
      <c r="B250" s="46" t="s">
        <v>1270</v>
      </c>
      <c r="C250" s="46" t="s">
        <v>1650</v>
      </c>
      <c r="D250" s="46" t="s">
        <v>1651</v>
      </c>
      <c r="E250" s="46" t="s">
        <v>1652</v>
      </c>
      <c r="F250" s="46" t="s">
        <v>391</v>
      </c>
      <c r="G250" s="46"/>
      <c r="H250" s="46" t="s">
        <v>1070</v>
      </c>
      <c r="I250" s="46" t="s">
        <v>1066</v>
      </c>
      <c r="J250" s="46"/>
      <c r="K250" s="46" t="s">
        <v>1653</v>
      </c>
      <c r="L250" s="46"/>
      <c r="M250" s="46"/>
      <c r="N250" s="46"/>
      <c r="O250" s="46"/>
      <c r="P250" s="46"/>
      <c r="Q250" s="46" t="s">
        <v>1166</v>
      </c>
      <c r="R250" s="47" t="n">
        <f aca="false">FL_Abb19!D5</f>
        <v>0.67</v>
      </c>
      <c r="S250" s="46" t="s">
        <v>1654</v>
      </c>
      <c r="T250" s="46" t="s">
        <v>37</v>
      </c>
      <c r="U250" s="46" t="s">
        <v>1655</v>
      </c>
      <c r="V250" s="46" t="s">
        <v>1275</v>
      </c>
      <c r="W250" s="46" t="s">
        <v>1656</v>
      </c>
      <c r="X250" s="46" t="s">
        <v>1657</v>
      </c>
      <c r="Y250" s="46" t="s">
        <v>1072</v>
      </c>
    </row>
    <row r="251" customFormat="false" ht="15" hidden="false" customHeight="false" outlineLevel="0" collapsed="false">
      <c r="A251" s="46" t="s">
        <v>1658</v>
      </c>
      <c r="B251" s="46" t="s">
        <v>1270</v>
      </c>
      <c r="C251" s="46" t="s">
        <v>1650</v>
      </c>
      <c r="D251" s="46" t="s">
        <v>1651</v>
      </c>
      <c r="E251" s="46" t="s">
        <v>1652</v>
      </c>
      <c r="F251" s="46" t="s">
        <v>391</v>
      </c>
      <c r="G251" s="46"/>
      <c r="H251" s="46" t="s">
        <v>1070</v>
      </c>
      <c r="I251" s="46" t="s">
        <v>1066</v>
      </c>
      <c r="J251" s="46"/>
      <c r="K251" s="46" t="s">
        <v>1659</v>
      </c>
      <c r="L251" s="46"/>
      <c r="M251" s="46"/>
      <c r="N251" s="46"/>
      <c r="O251" s="46"/>
      <c r="P251" s="46"/>
      <c r="Q251" s="46" t="s">
        <v>1166</v>
      </c>
      <c r="R251" s="47" t="n">
        <f aca="false">FL_Abb19!E5</f>
        <v>1.09</v>
      </c>
      <c r="S251" s="46" t="s">
        <v>1660</v>
      </c>
      <c r="T251" s="46" t="s">
        <v>37</v>
      </c>
      <c r="U251" s="46" t="s">
        <v>1655</v>
      </c>
      <c r="V251" s="46" t="s">
        <v>1275</v>
      </c>
      <c r="W251" s="46" t="s">
        <v>1656</v>
      </c>
      <c r="X251" s="46" t="s">
        <v>1657</v>
      </c>
      <c r="Y251" s="46" t="s">
        <v>1075</v>
      </c>
    </row>
    <row r="252" customFormat="false" ht="15" hidden="false" customHeight="false" outlineLevel="0" collapsed="false">
      <c r="A252" s="46" t="s">
        <v>1661</v>
      </c>
      <c r="B252" s="46" t="s">
        <v>1270</v>
      </c>
      <c r="C252" s="46" t="s">
        <v>1650</v>
      </c>
      <c r="D252" s="46" t="s">
        <v>1651</v>
      </c>
      <c r="E252" s="46" t="s">
        <v>1652</v>
      </c>
      <c r="F252" s="46" t="s">
        <v>391</v>
      </c>
      <c r="G252" s="46"/>
      <c r="H252" s="46" t="s">
        <v>1070</v>
      </c>
      <c r="I252" s="46" t="s">
        <v>1066</v>
      </c>
      <c r="J252" s="46"/>
      <c r="K252" s="46" t="s">
        <v>1653</v>
      </c>
      <c r="L252" s="46"/>
      <c r="M252" s="46"/>
      <c r="N252" s="46"/>
      <c r="O252" s="46"/>
      <c r="P252" s="46"/>
      <c r="Q252" s="46" t="s">
        <v>471</v>
      </c>
      <c r="R252" s="47" t="n">
        <f aca="false">FL_Abb19!D6</f>
        <v>0.66</v>
      </c>
      <c r="S252" s="46" t="s">
        <v>1662</v>
      </c>
      <c r="T252" s="46" t="s">
        <v>37</v>
      </c>
      <c r="U252" s="46" t="s">
        <v>1655</v>
      </c>
      <c r="V252" s="46" t="s">
        <v>1275</v>
      </c>
      <c r="W252" s="46" t="s">
        <v>1656</v>
      </c>
      <c r="X252" s="46" t="s">
        <v>1657</v>
      </c>
      <c r="Y252" s="46" t="s">
        <v>1081</v>
      </c>
    </row>
    <row r="253" customFormat="false" ht="15" hidden="false" customHeight="false" outlineLevel="0" collapsed="false">
      <c r="A253" s="46" t="s">
        <v>1663</v>
      </c>
      <c r="B253" s="46" t="s">
        <v>1270</v>
      </c>
      <c r="C253" s="46" t="s">
        <v>1650</v>
      </c>
      <c r="D253" s="46" t="s">
        <v>1651</v>
      </c>
      <c r="E253" s="46" t="s">
        <v>1652</v>
      </c>
      <c r="F253" s="46" t="s">
        <v>391</v>
      </c>
      <c r="G253" s="46"/>
      <c r="H253" s="46" t="s">
        <v>1070</v>
      </c>
      <c r="I253" s="46" t="s">
        <v>1066</v>
      </c>
      <c r="J253" s="46"/>
      <c r="K253" s="46" t="s">
        <v>1659</v>
      </c>
      <c r="L253" s="46"/>
      <c r="M253" s="46"/>
      <c r="N253" s="46"/>
      <c r="O253" s="46"/>
      <c r="P253" s="46"/>
      <c r="Q253" s="46" t="s">
        <v>471</v>
      </c>
      <c r="R253" s="47" t="n">
        <f aca="false">FL_Abb19!E6</f>
        <v>1.29</v>
      </c>
      <c r="S253" s="46" t="s">
        <v>1664</v>
      </c>
      <c r="T253" s="46" t="s">
        <v>37</v>
      </c>
      <c r="U253" s="46" t="s">
        <v>1655</v>
      </c>
      <c r="V253" s="46" t="s">
        <v>1275</v>
      </c>
      <c r="W253" s="46" t="s">
        <v>1656</v>
      </c>
      <c r="X253" s="46" t="s">
        <v>1657</v>
      </c>
      <c r="Y253" s="46" t="s">
        <v>1083</v>
      </c>
    </row>
    <row r="254" customFormat="false" ht="15" hidden="false" customHeight="false" outlineLevel="0" collapsed="false">
      <c r="A254" s="46" t="s">
        <v>1665</v>
      </c>
      <c r="B254" s="46" t="s">
        <v>1270</v>
      </c>
      <c r="C254" s="46" t="s">
        <v>1650</v>
      </c>
      <c r="D254" s="46" t="s">
        <v>1651</v>
      </c>
      <c r="E254" s="46" t="s">
        <v>1652</v>
      </c>
      <c r="F254" s="46" t="s">
        <v>391</v>
      </c>
      <c r="G254" s="46"/>
      <c r="H254" s="46" t="s">
        <v>1070</v>
      </c>
      <c r="I254" s="46" t="s">
        <v>1066</v>
      </c>
      <c r="J254" s="46"/>
      <c r="K254" s="46" t="s">
        <v>1653</v>
      </c>
      <c r="L254" s="46"/>
      <c r="M254" s="46"/>
      <c r="N254" s="46"/>
      <c r="O254" s="46"/>
      <c r="P254" s="46"/>
      <c r="Q254" s="46" t="s">
        <v>1527</v>
      </c>
      <c r="R254" s="47" t="n">
        <f aca="false">FL_Abb19!D7</f>
        <v>0.57</v>
      </c>
      <c r="S254" s="46" t="s">
        <v>1666</v>
      </c>
      <c r="T254" s="46" t="s">
        <v>37</v>
      </c>
      <c r="U254" s="46" t="s">
        <v>1655</v>
      </c>
      <c r="V254" s="46" t="s">
        <v>1275</v>
      </c>
      <c r="W254" s="46" t="s">
        <v>1656</v>
      </c>
      <c r="X254" s="46" t="s">
        <v>1657</v>
      </c>
      <c r="Y254" s="46" t="s">
        <v>1089</v>
      </c>
    </row>
    <row r="255" customFormat="false" ht="15" hidden="false" customHeight="false" outlineLevel="0" collapsed="false">
      <c r="A255" s="46" t="s">
        <v>1667</v>
      </c>
      <c r="B255" s="46" t="s">
        <v>1270</v>
      </c>
      <c r="C255" s="46" t="s">
        <v>1650</v>
      </c>
      <c r="D255" s="46" t="s">
        <v>1651</v>
      </c>
      <c r="E255" s="46" t="s">
        <v>1652</v>
      </c>
      <c r="F255" s="46" t="s">
        <v>391</v>
      </c>
      <c r="G255" s="46"/>
      <c r="H255" s="46" t="s">
        <v>1070</v>
      </c>
      <c r="I255" s="46" t="s">
        <v>1066</v>
      </c>
      <c r="J255" s="46"/>
      <c r="K255" s="46" t="s">
        <v>1659</v>
      </c>
      <c r="L255" s="46"/>
      <c r="M255" s="46"/>
      <c r="N255" s="46"/>
      <c r="O255" s="46"/>
      <c r="P255" s="46"/>
      <c r="Q255" s="46" t="s">
        <v>1527</v>
      </c>
      <c r="R255" s="47" t="n">
        <f aca="false">FL_Abb19!E7</f>
        <v>1.12</v>
      </c>
      <c r="S255" s="46" t="s">
        <v>1668</v>
      </c>
      <c r="T255" s="46" t="s">
        <v>37</v>
      </c>
      <c r="U255" s="46" t="s">
        <v>1655</v>
      </c>
      <c r="V255" s="46" t="s">
        <v>1275</v>
      </c>
      <c r="W255" s="46" t="s">
        <v>1656</v>
      </c>
      <c r="X255" s="46" t="s">
        <v>1657</v>
      </c>
      <c r="Y255" s="46" t="s">
        <v>1091</v>
      </c>
    </row>
    <row r="256" customFormat="false" ht="15" hidden="false" customHeight="false" outlineLevel="0" collapsed="false">
      <c r="A256" s="46" t="s">
        <v>1669</v>
      </c>
      <c r="B256" s="46" t="s">
        <v>1270</v>
      </c>
      <c r="C256" s="46" t="s">
        <v>1650</v>
      </c>
      <c r="D256" s="46" t="s">
        <v>1651</v>
      </c>
      <c r="E256" s="46" t="s">
        <v>1652</v>
      </c>
      <c r="F256" s="46" t="s">
        <v>391</v>
      </c>
      <c r="G256" s="46"/>
      <c r="H256" s="46" t="s">
        <v>1070</v>
      </c>
      <c r="I256" s="46" t="s">
        <v>1066</v>
      </c>
      <c r="J256" s="46"/>
      <c r="K256" s="46" t="s">
        <v>1653</v>
      </c>
      <c r="L256" s="46"/>
      <c r="M256" s="46"/>
      <c r="N256" s="46"/>
      <c r="O256" s="46"/>
      <c r="P256" s="46"/>
      <c r="Q256" s="46" t="s">
        <v>1670</v>
      </c>
      <c r="R256" s="47" t="n">
        <f aca="false">FL_Abb19!D8</f>
        <v>0.5</v>
      </c>
      <c r="S256" s="46" t="s">
        <v>1315</v>
      </c>
      <c r="T256" s="46" t="s">
        <v>37</v>
      </c>
      <c r="U256" s="46" t="s">
        <v>1655</v>
      </c>
      <c r="V256" s="46" t="s">
        <v>1275</v>
      </c>
      <c r="W256" s="46" t="s">
        <v>1656</v>
      </c>
      <c r="X256" s="46" t="s">
        <v>1657</v>
      </c>
      <c r="Y256" s="46" t="s">
        <v>1098</v>
      </c>
    </row>
    <row r="257" customFormat="false" ht="15" hidden="false" customHeight="false" outlineLevel="0" collapsed="false">
      <c r="A257" s="46" t="s">
        <v>1671</v>
      </c>
      <c r="B257" s="46" t="s">
        <v>1270</v>
      </c>
      <c r="C257" s="46" t="s">
        <v>1650</v>
      </c>
      <c r="D257" s="46" t="s">
        <v>1651</v>
      </c>
      <c r="E257" s="46" t="s">
        <v>1652</v>
      </c>
      <c r="F257" s="46" t="s">
        <v>391</v>
      </c>
      <c r="G257" s="46"/>
      <c r="H257" s="46" t="s">
        <v>1070</v>
      </c>
      <c r="I257" s="46" t="s">
        <v>1066</v>
      </c>
      <c r="J257" s="46"/>
      <c r="K257" s="46" t="s">
        <v>1659</v>
      </c>
      <c r="L257" s="46"/>
      <c r="M257" s="46"/>
      <c r="N257" s="46"/>
      <c r="O257" s="46"/>
      <c r="P257" s="46"/>
      <c r="Q257" s="46" t="s">
        <v>1670</v>
      </c>
      <c r="R257" s="47" t="n">
        <f aca="false">FL_Abb19!E8</f>
        <v>1.01</v>
      </c>
      <c r="S257" s="46" t="s">
        <v>1672</v>
      </c>
      <c r="T257" s="46" t="s">
        <v>37</v>
      </c>
      <c r="U257" s="46" t="s">
        <v>1655</v>
      </c>
      <c r="V257" s="46" t="s">
        <v>1275</v>
      </c>
      <c r="W257" s="46" t="s">
        <v>1656</v>
      </c>
      <c r="X257" s="46" t="s">
        <v>1657</v>
      </c>
      <c r="Y257" s="46" t="s">
        <v>1100</v>
      </c>
    </row>
    <row r="258" customFormat="false" ht="15" hidden="false" customHeight="false" outlineLevel="0" collapsed="false">
      <c r="A258" s="46" t="s">
        <v>1673</v>
      </c>
      <c r="B258" s="46" t="s">
        <v>1270</v>
      </c>
      <c r="C258" s="46" t="s">
        <v>1650</v>
      </c>
      <c r="D258" s="46" t="s">
        <v>1651</v>
      </c>
      <c r="E258" s="46" t="s">
        <v>1652</v>
      </c>
      <c r="F258" s="46" t="s">
        <v>391</v>
      </c>
      <c r="G258" s="46"/>
      <c r="H258" s="46" t="s">
        <v>1066</v>
      </c>
      <c r="I258" s="46" t="s">
        <v>1070</v>
      </c>
      <c r="J258" s="46"/>
      <c r="K258" s="46" t="s">
        <v>1653</v>
      </c>
      <c r="L258" s="46"/>
      <c r="M258" s="46"/>
      <c r="N258" s="46"/>
      <c r="O258" s="46"/>
      <c r="P258" s="46"/>
      <c r="Q258" s="46" t="s">
        <v>1166</v>
      </c>
      <c r="R258" s="47" t="n">
        <f aca="false">FL_Abb19!D9</f>
        <v>9.8</v>
      </c>
      <c r="S258" s="46" t="s">
        <v>1674</v>
      </c>
      <c r="T258" s="46" t="s">
        <v>37</v>
      </c>
      <c r="U258" s="46" t="s">
        <v>1655</v>
      </c>
      <c r="V258" s="46" t="s">
        <v>1275</v>
      </c>
      <c r="W258" s="46" t="s">
        <v>1656</v>
      </c>
      <c r="X258" s="46" t="s">
        <v>1657</v>
      </c>
      <c r="Y258" s="46" t="s">
        <v>1377</v>
      </c>
    </row>
    <row r="259" customFormat="false" ht="15" hidden="false" customHeight="false" outlineLevel="0" collapsed="false">
      <c r="A259" s="46" t="s">
        <v>1675</v>
      </c>
      <c r="B259" s="46" t="s">
        <v>1270</v>
      </c>
      <c r="C259" s="46" t="s">
        <v>1650</v>
      </c>
      <c r="D259" s="46" t="s">
        <v>1651</v>
      </c>
      <c r="E259" s="46" t="s">
        <v>1652</v>
      </c>
      <c r="F259" s="46" t="s">
        <v>391</v>
      </c>
      <c r="G259" s="46"/>
      <c r="H259" s="46" t="s">
        <v>1066</v>
      </c>
      <c r="I259" s="46" t="s">
        <v>1070</v>
      </c>
      <c r="J259" s="46"/>
      <c r="K259" s="46" t="s">
        <v>1659</v>
      </c>
      <c r="L259" s="46"/>
      <c r="M259" s="46"/>
      <c r="N259" s="46"/>
      <c r="O259" s="46"/>
      <c r="P259" s="46"/>
      <c r="Q259" s="46" t="s">
        <v>1166</v>
      </c>
      <c r="R259" s="47" t="n">
        <f aca="false">FL_Abb19!E9</f>
        <v>9.8</v>
      </c>
      <c r="S259" s="46" t="s">
        <v>1674</v>
      </c>
      <c r="T259" s="46" t="s">
        <v>37</v>
      </c>
      <c r="U259" s="46" t="s">
        <v>1655</v>
      </c>
      <c r="V259" s="46" t="s">
        <v>1275</v>
      </c>
      <c r="W259" s="46" t="s">
        <v>1656</v>
      </c>
      <c r="X259" s="46" t="s">
        <v>1657</v>
      </c>
      <c r="Y259" s="46" t="s">
        <v>1379</v>
      </c>
    </row>
    <row r="260" customFormat="false" ht="15" hidden="false" customHeight="false" outlineLevel="0" collapsed="false">
      <c r="A260" s="46" t="s">
        <v>1676</v>
      </c>
      <c r="B260" s="46" t="s">
        <v>1270</v>
      </c>
      <c r="C260" s="46" t="s">
        <v>1650</v>
      </c>
      <c r="D260" s="46" t="s">
        <v>1651</v>
      </c>
      <c r="E260" s="46" t="s">
        <v>1652</v>
      </c>
      <c r="F260" s="46" t="s">
        <v>391</v>
      </c>
      <c r="G260" s="46"/>
      <c r="H260" s="46" t="s">
        <v>1066</v>
      </c>
      <c r="I260" s="46" t="s">
        <v>1070</v>
      </c>
      <c r="J260" s="46"/>
      <c r="K260" s="46" t="s">
        <v>1653</v>
      </c>
      <c r="L260" s="46"/>
      <c r="M260" s="46"/>
      <c r="N260" s="46"/>
      <c r="O260" s="46"/>
      <c r="P260" s="46"/>
      <c r="Q260" s="46" t="s">
        <v>471</v>
      </c>
      <c r="R260" s="47" t="n">
        <f aca="false">FL_Abb19!D10</f>
        <v>9</v>
      </c>
      <c r="S260" s="46" t="s">
        <v>1677</v>
      </c>
      <c r="T260" s="46" t="s">
        <v>37</v>
      </c>
      <c r="U260" s="46" t="s">
        <v>1655</v>
      </c>
      <c r="V260" s="46" t="s">
        <v>1275</v>
      </c>
      <c r="W260" s="46" t="s">
        <v>1656</v>
      </c>
      <c r="X260" s="46" t="s">
        <v>1657</v>
      </c>
      <c r="Y260" s="46" t="s">
        <v>1392</v>
      </c>
    </row>
    <row r="261" customFormat="false" ht="15" hidden="false" customHeight="false" outlineLevel="0" collapsed="false">
      <c r="A261" s="46" t="s">
        <v>1678</v>
      </c>
      <c r="B261" s="46" t="s">
        <v>1270</v>
      </c>
      <c r="C261" s="46" t="s">
        <v>1650</v>
      </c>
      <c r="D261" s="46" t="s">
        <v>1651</v>
      </c>
      <c r="E261" s="46" t="s">
        <v>1652</v>
      </c>
      <c r="F261" s="46" t="s">
        <v>391</v>
      </c>
      <c r="G261" s="46"/>
      <c r="H261" s="46" t="s">
        <v>1066</v>
      </c>
      <c r="I261" s="46" t="s">
        <v>1070</v>
      </c>
      <c r="J261" s="46"/>
      <c r="K261" s="46" t="s">
        <v>1659</v>
      </c>
      <c r="L261" s="46"/>
      <c r="M261" s="46"/>
      <c r="N261" s="46"/>
      <c r="O261" s="46"/>
      <c r="P261" s="46"/>
      <c r="Q261" s="46" t="s">
        <v>471</v>
      </c>
      <c r="R261" s="47" t="n">
        <f aca="false">FL_Abb19!E10</f>
        <v>11.2</v>
      </c>
      <c r="S261" s="46" t="s">
        <v>1679</v>
      </c>
      <c r="T261" s="46" t="s">
        <v>37</v>
      </c>
      <c r="U261" s="46" t="s">
        <v>1655</v>
      </c>
      <c r="V261" s="46" t="s">
        <v>1275</v>
      </c>
      <c r="W261" s="46" t="s">
        <v>1656</v>
      </c>
      <c r="X261" s="46" t="s">
        <v>1657</v>
      </c>
      <c r="Y261" s="46" t="s">
        <v>1395</v>
      </c>
    </row>
    <row r="262" customFormat="false" ht="15" hidden="false" customHeight="false" outlineLevel="0" collapsed="false">
      <c r="A262" s="46" t="s">
        <v>1680</v>
      </c>
      <c r="B262" s="46" t="s">
        <v>1270</v>
      </c>
      <c r="C262" s="46" t="s">
        <v>1650</v>
      </c>
      <c r="D262" s="46" t="s">
        <v>1651</v>
      </c>
      <c r="E262" s="46" t="s">
        <v>1652</v>
      </c>
      <c r="F262" s="46" t="s">
        <v>391</v>
      </c>
      <c r="G262" s="46"/>
      <c r="H262" s="46" t="s">
        <v>1066</v>
      </c>
      <c r="I262" s="46" t="s">
        <v>1070</v>
      </c>
      <c r="J262" s="46"/>
      <c r="K262" s="46" t="s">
        <v>1653</v>
      </c>
      <c r="L262" s="46"/>
      <c r="M262" s="46"/>
      <c r="N262" s="46"/>
      <c r="O262" s="46"/>
      <c r="P262" s="46"/>
      <c r="Q262" s="46" t="s">
        <v>1527</v>
      </c>
      <c r="R262" s="47" t="n">
        <f aca="false">FL_Abb19!D11</f>
        <v>8.8</v>
      </c>
      <c r="S262" s="46" t="s">
        <v>1681</v>
      </c>
      <c r="T262" s="46" t="s">
        <v>37</v>
      </c>
      <c r="U262" s="46" t="s">
        <v>1655</v>
      </c>
      <c r="V262" s="46" t="s">
        <v>1275</v>
      </c>
      <c r="W262" s="46" t="s">
        <v>1656</v>
      </c>
      <c r="X262" s="46" t="s">
        <v>1657</v>
      </c>
      <c r="Y262" s="46" t="s">
        <v>1407</v>
      </c>
    </row>
    <row r="263" customFormat="false" ht="15" hidden="false" customHeight="false" outlineLevel="0" collapsed="false">
      <c r="A263" s="46" t="s">
        <v>1682</v>
      </c>
      <c r="B263" s="46" t="s">
        <v>1270</v>
      </c>
      <c r="C263" s="46" t="s">
        <v>1650</v>
      </c>
      <c r="D263" s="46" t="s">
        <v>1651</v>
      </c>
      <c r="E263" s="46" t="s">
        <v>1652</v>
      </c>
      <c r="F263" s="46" t="s">
        <v>391</v>
      </c>
      <c r="G263" s="46"/>
      <c r="H263" s="46" t="s">
        <v>1066</v>
      </c>
      <c r="I263" s="46" t="s">
        <v>1070</v>
      </c>
      <c r="J263" s="46"/>
      <c r="K263" s="46" t="s">
        <v>1659</v>
      </c>
      <c r="L263" s="46"/>
      <c r="M263" s="46"/>
      <c r="N263" s="46"/>
      <c r="O263" s="46"/>
      <c r="P263" s="46"/>
      <c r="Q263" s="46" t="s">
        <v>1527</v>
      </c>
      <c r="R263" s="47" t="n">
        <f aca="false">FL_Abb19!E11</f>
        <v>10.6</v>
      </c>
      <c r="S263" s="46" t="s">
        <v>1683</v>
      </c>
      <c r="T263" s="46" t="s">
        <v>37</v>
      </c>
      <c r="U263" s="46" t="s">
        <v>1655</v>
      </c>
      <c r="V263" s="46" t="s">
        <v>1275</v>
      </c>
      <c r="W263" s="46" t="s">
        <v>1656</v>
      </c>
      <c r="X263" s="46" t="s">
        <v>1657</v>
      </c>
      <c r="Y263" s="46" t="s">
        <v>1409</v>
      </c>
    </row>
    <row r="264" customFormat="false" ht="15" hidden="false" customHeight="false" outlineLevel="0" collapsed="false">
      <c r="A264" s="46" t="s">
        <v>1684</v>
      </c>
      <c r="B264" s="46" t="s">
        <v>1270</v>
      </c>
      <c r="C264" s="46" t="s">
        <v>1650</v>
      </c>
      <c r="D264" s="46" t="s">
        <v>1651</v>
      </c>
      <c r="E264" s="46" t="s">
        <v>1652</v>
      </c>
      <c r="F264" s="46" t="s">
        <v>391</v>
      </c>
      <c r="G264" s="46"/>
      <c r="H264" s="46" t="s">
        <v>1066</v>
      </c>
      <c r="I264" s="46" t="s">
        <v>1070</v>
      </c>
      <c r="J264" s="46"/>
      <c r="K264" s="46" t="s">
        <v>1653</v>
      </c>
      <c r="L264" s="46"/>
      <c r="M264" s="46"/>
      <c r="N264" s="46"/>
      <c r="O264" s="46"/>
      <c r="P264" s="46"/>
      <c r="Q264" s="46" t="s">
        <v>1670</v>
      </c>
      <c r="R264" s="47" t="n">
        <f aca="false">FL_Abb19!D12</f>
        <v>8.8</v>
      </c>
      <c r="S264" s="46" t="s">
        <v>1681</v>
      </c>
      <c r="T264" s="46" t="s">
        <v>37</v>
      </c>
      <c r="U264" s="46" t="s">
        <v>1655</v>
      </c>
      <c r="V264" s="46" t="s">
        <v>1275</v>
      </c>
      <c r="W264" s="46" t="s">
        <v>1656</v>
      </c>
      <c r="X264" s="46" t="s">
        <v>1657</v>
      </c>
      <c r="Y264" s="46" t="s">
        <v>1421</v>
      </c>
    </row>
    <row r="265" customFormat="false" ht="15" hidden="false" customHeight="false" outlineLevel="0" collapsed="false">
      <c r="A265" s="46" t="s">
        <v>1685</v>
      </c>
      <c r="B265" s="46" t="s">
        <v>1270</v>
      </c>
      <c r="C265" s="46" t="s">
        <v>1650</v>
      </c>
      <c r="D265" s="46" t="s">
        <v>1651</v>
      </c>
      <c r="E265" s="46" t="s">
        <v>1652</v>
      </c>
      <c r="F265" s="46" t="s">
        <v>391</v>
      </c>
      <c r="G265" s="46"/>
      <c r="H265" s="46" t="s">
        <v>1066</v>
      </c>
      <c r="I265" s="46" t="s">
        <v>1070</v>
      </c>
      <c r="J265" s="46"/>
      <c r="K265" s="46" t="s">
        <v>1659</v>
      </c>
      <c r="L265" s="46"/>
      <c r="M265" s="46"/>
      <c r="N265" s="46"/>
      <c r="O265" s="46"/>
      <c r="P265" s="46"/>
      <c r="Q265" s="46" t="s">
        <v>1670</v>
      </c>
      <c r="R265" s="47" t="n">
        <f aca="false">FL_Abb19!E12</f>
        <v>9.8</v>
      </c>
      <c r="S265" s="46" t="s">
        <v>1674</v>
      </c>
      <c r="T265" s="46" t="s">
        <v>37</v>
      </c>
      <c r="U265" s="46" t="s">
        <v>1655</v>
      </c>
      <c r="V265" s="46" t="s">
        <v>1275</v>
      </c>
      <c r="W265" s="46" t="s">
        <v>1656</v>
      </c>
      <c r="X265" s="46" t="s">
        <v>1657</v>
      </c>
      <c r="Y265" s="46" t="s">
        <v>1423</v>
      </c>
    </row>
    <row r="266" customFormat="false" ht="15" hidden="false" customHeight="false" outlineLevel="0" collapsed="false">
      <c r="A266" s="46" t="s">
        <v>1686</v>
      </c>
      <c r="B266" s="46" t="s">
        <v>1270</v>
      </c>
      <c r="C266" s="46" t="s">
        <v>1650</v>
      </c>
      <c r="D266" s="46" t="s">
        <v>1651</v>
      </c>
      <c r="E266" s="46" t="s">
        <v>1652</v>
      </c>
      <c r="F266" s="46" t="s">
        <v>391</v>
      </c>
      <c r="G266" s="46"/>
      <c r="H266" s="46" t="s">
        <v>1070</v>
      </c>
      <c r="I266" s="46" t="s">
        <v>1070</v>
      </c>
      <c r="J266" s="46"/>
      <c r="K266" s="46" t="s">
        <v>1653</v>
      </c>
      <c r="L266" s="46"/>
      <c r="M266" s="46"/>
      <c r="N266" s="46"/>
      <c r="O266" s="46"/>
      <c r="P266" s="46"/>
      <c r="Q266" s="46" t="s">
        <v>1166</v>
      </c>
      <c r="R266" s="47" t="n">
        <f aca="false">FL_Abb19!D13</f>
        <v>0.49</v>
      </c>
      <c r="S266" s="46" t="s">
        <v>1687</v>
      </c>
      <c r="T266" s="46" t="s">
        <v>37</v>
      </c>
      <c r="U266" s="46" t="s">
        <v>1655</v>
      </c>
      <c r="V266" s="46" t="s">
        <v>1275</v>
      </c>
      <c r="W266" s="46" t="s">
        <v>1656</v>
      </c>
      <c r="X266" s="46" t="s">
        <v>1657</v>
      </c>
      <c r="Y266" s="46" t="s">
        <v>1435</v>
      </c>
    </row>
    <row r="267" customFormat="false" ht="15" hidden="false" customHeight="false" outlineLevel="0" collapsed="false">
      <c r="A267" s="46" t="s">
        <v>1688</v>
      </c>
      <c r="B267" s="46" t="s">
        <v>1270</v>
      </c>
      <c r="C267" s="46" t="s">
        <v>1650</v>
      </c>
      <c r="D267" s="46" t="s">
        <v>1651</v>
      </c>
      <c r="E267" s="46" t="s">
        <v>1652</v>
      </c>
      <c r="F267" s="46" t="s">
        <v>391</v>
      </c>
      <c r="G267" s="46"/>
      <c r="H267" s="46" t="s">
        <v>1070</v>
      </c>
      <c r="I267" s="46" t="s">
        <v>1070</v>
      </c>
      <c r="J267" s="46"/>
      <c r="K267" s="46" t="s">
        <v>1659</v>
      </c>
      <c r="L267" s="46"/>
      <c r="M267" s="46"/>
      <c r="N267" s="46"/>
      <c r="O267" s="46"/>
      <c r="P267" s="46"/>
      <c r="Q267" s="46" t="s">
        <v>1166</v>
      </c>
      <c r="R267" s="47" t="n">
        <f aca="false">FL_Abb19!E13</f>
        <v>1.78</v>
      </c>
      <c r="S267" s="46" t="s">
        <v>1689</v>
      </c>
      <c r="T267" s="46" t="s">
        <v>37</v>
      </c>
      <c r="U267" s="46" t="s">
        <v>1655</v>
      </c>
      <c r="V267" s="46" t="s">
        <v>1275</v>
      </c>
      <c r="W267" s="46" t="s">
        <v>1656</v>
      </c>
      <c r="X267" s="46" t="s">
        <v>1657</v>
      </c>
      <c r="Y267" s="46" t="s">
        <v>1438</v>
      </c>
    </row>
    <row r="268" customFormat="false" ht="15" hidden="false" customHeight="false" outlineLevel="0" collapsed="false">
      <c r="A268" s="46" t="s">
        <v>1690</v>
      </c>
      <c r="B268" s="46" t="s">
        <v>1270</v>
      </c>
      <c r="C268" s="46" t="s">
        <v>1650</v>
      </c>
      <c r="D268" s="46" t="s">
        <v>1651</v>
      </c>
      <c r="E268" s="46" t="s">
        <v>1652</v>
      </c>
      <c r="F268" s="46" t="s">
        <v>391</v>
      </c>
      <c r="G268" s="46"/>
      <c r="H268" s="46" t="s">
        <v>1070</v>
      </c>
      <c r="I268" s="46" t="s">
        <v>1070</v>
      </c>
      <c r="J268" s="46"/>
      <c r="K268" s="46" t="s">
        <v>1653</v>
      </c>
      <c r="L268" s="46"/>
      <c r="M268" s="46"/>
      <c r="N268" s="46"/>
      <c r="O268" s="46"/>
      <c r="P268" s="46"/>
      <c r="Q268" s="46" t="s">
        <v>471</v>
      </c>
      <c r="R268" s="47" t="n">
        <f aca="false">FL_Abb19!D14</f>
        <v>0.25</v>
      </c>
      <c r="S268" s="46" t="s">
        <v>1130</v>
      </c>
      <c r="T268" s="46" t="s">
        <v>37</v>
      </c>
      <c r="U268" s="46" t="s">
        <v>1655</v>
      </c>
      <c r="V268" s="46" t="s">
        <v>1275</v>
      </c>
      <c r="W268" s="46" t="s">
        <v>1656</v>
      </c>
      <c r="X268" s="46" t="s">
        <v>1657</v>
      </c>
      <c r="Y268" s="46" t="s">
        <v>1451</v>
      </c>
    </row>
    <row r="269" customFormat="false" ht="15" hidden="false" customHeight="false" outlineLevel="0" collapsed="false">
      <c r="A269" s="46" t="s">
        <v>1691</v>
      </c>
      <c r="B269" s="46" t="s">
        <v>1270</v>
      </c>
      <c r="C269" s="46" t="s">
        <v>1650</v>
      </c>
      <c r="D269" s="46" t="s">
        <v>1651</v>
      </c>
      <c r="E269" s="46" t="s">
        <v>1652</v>
      </c>
      <c r="F269" s="46" t="s">
        <v>391</v>
      </c>
      <c r="G269" s="46"/>
      <c r="H269" s="46" t="s">
        <v>1070</v>
      </c>
      <c r="I269" s="46" t="s">
        <v>1070</v>
      </c>
      <c r="J269" s="46"/>
      <c r="K269" s="46" t="s">
        <v>1659</v>
      </c>
      <c r="L269" s="46"/>
      <c r="M269" s="46"/>
      <c r="N269" s="46"/>
      <c r="O269" s="46"/>
      <c r="P269" s="46"/>
      <c r="Q269" s="46" t="s">
        <v>471</v>
      </c>
      <c r="R269" s="47" t="n">
        <f aca="false">FL_Abb19!E14</f>
        <v>1.22</v>
      </c>
      <c r="S269" s="46" t="s">
        <v>1692</v>
      </c>
      <c r="T269" s="46" t="s">
        <v>37</v>
      </c>
      <c r="U269" s="46" t="s">
        <v>1655</v>
      </c>
      <c r="V269" s="46" t="s">
        <v>1275</v>
      </c>
      <c r="W269" s="46" t="s">
        <v>1656</v>
      </c>
      <c r="X269" s="46" t="s">
        <v>1657</v>
      </c>
      <c r="Y269" s="46" t="s">
        <v>1453</v>
      </c>
    </row>
    <row r="270" customFormat="false" ht="15" hidden="false" customHeight="false" outlineLevel="0" collapsed="false">
      <c r="A270" s="46" t="s">
        <v>1693</v>
      </c>
      <c r="B270" s="46" t="s">
        <v>1270</v>
      </c>
      <c r="C270" s="46" t="s">
        <v>1650</v>
      </c>
      <c r="D270" s="46" t="s">
        <v>1651</v>
      </c>
      <c r="E270" s="46" t="s">
        <v>1652</v>
      </c>
      <c r="F270" s="46" t="s">
        <v>391</v>
      </c>
      <c r="G270" s="46"/>
      <c r="H270" s="46" t="s">
        <v>1070</v>
      </c>
      <c r="I270" s="46" t="s">
        <v>1070</v>
      </c>
      <c r="J270" s="46"/>
      <c r="K270" s="46" t="s">
        <v>1653</v>
      </c>
      <c r="L270" s="46"/>
      <c r="M270" s="46"/>
      <c r="N270" s="46"/>
      <c r="O270" s="46"/>
      <c r="P270" s="46"/>
      <c r="Q270" s="46" t="s">
        <v>1527</v>
      </c>
      <c r="R270" s="47" t="n">
        <f aca="false">FL_Abb19!D15</f>
        <v>0.34</v>
      </c>
      <c r="S270" s="46" t="s">
        <v>1694</v>
      </c>
      <c r="T270" s="46" t="s">
        <v>37</v>
      </c>
      <c r="U270" s="46" t="s">
        <v>1655</v>
      </c>
      <c r="V270" s="46" t="s">
        <v>1275</v>
      </c>
      <c r="W270" s="46" t="s">
        <v>1656</v>
      </c>
      <c r="X270" s="46" t="s">
        <v>1657</v>
      </c>
      <c r="Y270" s="46" t="s">
        <v>1465</v>
      </c>
    </row>
    <row r="271" customFormat="false" ht="15" hidden="false" customHeight="false" outlineLevel="0" collapsed="false">
      <c r="A271" s="46" t="s">
        <v>1695</v>
      </c>
      <c r="B271" s="46" t="s">
        <v>1270</v>
      </c>
      <c r="C271" s="46" t="s">
        <v>1650</v>
      </c>
      <c r="D271" s="46" t="s">
        <v>1651</v>
      </c>
      <c r="E271" s="46" t="s">
        <v>1652</v>
      </c>
      <c r="F271" s="46" t="s">
        <v>391</v>
      </c>
      <c r="G271" s="46"/>
      <c r="H271" s="46" t="s">
        <v>1070</v>
      </c>
      <c r="I271" s="46" t="s">
        <v>1070</v>
      </c>
      <c r="J271" s="46"/>
      <c r="K271" s="46" t="s">
        <v>1659</v>
      </c>
      <c r="L271" s="46"/>
      <c r="M271" s="46"/>
      <c r="N271" s="46"/>
      <c r="O271" s="46"/>
      <c r="P271" s="46"/>
      <c r="Q271" s="46" t="s">
        <v>1527</v>
      </c>
      <c r="R271" s="47" t="n">
        <f aca="false">FL_Abb19!E15</f>
        <v>1.04</v>
      </c>
      <c r="S271" s="46" t="s">
        <v>1696</v>
      </c>
      <c r="T271" s="46" t="s">
        <v>37</v>
      </c>
      <c r="U271" s="46" t="s">
        <v>1655</v>
      </c>
      <c r="V271" s="46" t="s">
        <v>1275</v>
      </c>
      <c r="W271" s="46" t="s">
        <v>1656</v>
      </c>
      <c r="X271" s="46" t="s">
        <v>1657</v>
      </c>
      <c r="Y271" s="46" t="s">
        <v>1467</v>
      </c>
    </row>
    <row r="272" customFormat="false" ht="15" hidden="false" customHeight="false" outlineLevel="0" collapsed="false">
      <c r="A272" s="46" t="s">
        <v>1697</v>
      </c>
      <c r="B272" s="46" t="s">
        <v>1270</v>
      </c>
      <c r="C272" s="46" t="s">
        <v>1650</v>
      </c>
      <c r="D272" s="46" t="s">
        <v>1651</v>
      </c>
      <c r="E272" s="46" t="s">
        <v>1652</v>
      </c>
      <c r="F272" s="46" t="s">
        <v>391</v>
      </c>
      <c r="G272" s="46"/>
      <c r="H272" s="46" t="s">
        <v>1070</v>
      </c>
      <c r="I272" s="46" t="s">
        <v>1070</v>
      </c>
      <c r="J272" s="46"/>
      <c r="K272" s="46" t="s">
        <v>1653</v>
      </c>
      <c r="L272" s="46"/>
      <c r="M272" s="46"/>
      <c r="N272" s="46"/>
      <c r="O272" s="46"/>
      <c r="P272" s="46"/>
      <c r="Q272" s="46" t="s">
        <v>1670</v>
      </c>
      <c r="R272" s="47" t="n">
        <f aca="false">FL_Abb19!D16</f>
        <v>0.22</v>
      </c>
      <c r="S272" s="46" t="s">
        <v>1698</v>
      </c>
      <c r="T272" s="46" t="s">
        <v>37</v>
      </c>
      <c r="U272" s="46" t="s">
        <v>1655</v>
      </c>
      <c r="V272" s="46" t="s">
        <v>1275</v>
      </c>
      <c r="W272" s="46" t="s">
        <v>1656</v>
      </c>
      <c r="X272" s="46" t="s">
        <v>1657</v>
      </c>
      <c r="Y272" s="46" t="s">
        <v>1529</v>
      </c>
    </row>
    <row r="273" customFormat="false" ht="15" hidden="false" customHeight="false" outlineLevel="0" collapsed="false">
      <c r="A273" s="46" t="s">
        <v>1699</v>
      </c>
      <c r="B273" s="46" t="s">
        <v>1270</v>
      </c>
      <c r="C273" s="46" t="s">
        <v>1650</v>
      </c>
      <c r="D273" s="46" t="s">
        <v>1651</v>
      </c>
      <c r="E273" s="46" t="s">
        <v>1652</v>
      </c>
      <c r="F273" s="46" t="s">
        <v>391</v>
      </c>
      <c r="G273" s="46"/>
      <c r="H273" s="46" t="s">
        <v>1070</v>
      </c>
      <c r="I273" s="46" t="s">
        <v>1070</v>
      </c>
      <c r="J273" s="46"/>
      <c r="K273" s="46" t="s">
        <v>1659</v>
      </c>
      <c r="L273" s="46"/>
      <c r="M273" s="46"/>
      <c r="N273" s="46"/>
      <c r="O273" s="46"/>
      <c r="P273" s="46"/>
      <c r="Q273" s="46" t="s">
        <v>1670</v>
      </c>
      <c r="R273" s="47" t="n">
        <f aca="false">FL_Abb19!E16</f>
        <v>1.19</v>
      </c>
      <c r="S273" s="46" t="s">
        <v>1700</v>
      </c>
      <c r="T273" s="46" t="s">
        <v>37</v>
      </c>
      <c r="U273" s="46" t="s">
        <v>1655</v>
      </c>
      <c r="V273" s="46" t="s">
        <v>1275</v>
      </c>
      <c r="W273" s="46" t="s">
        <v>1656</v>
      </c>
      <c r="X273" s="46" t="s">
        <v>1657</v>
      </c>
      <c r="Y273" s="46" t="s">
        <v>1531</v>
      </c>
    </row>
  </sheetData>
  <autoFilter ref="A4:Y2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2026-10-16T12:19:26Z</dcterms:created>
  <dc:creator>GCM Referenzdaten</dc:creator>
  <dc:description/>
  <dc:language>en-US</dc:language>
  <cp:lastModifiedBy/>
  <dcterms:modified xsi:type="dcterms:W3CDTF">2026-10-16T12:19:27Z</dcterms:modified>
  <cp:revision>0</cp:revision>
  <dc:subject/>
  <dc:title>Referenzdaten Docking GCM</dc:title>
</cp:coreProperties>
</file>

<file path=docProps/custom.xml><?xml version="1.0" encoding="utf-8"?>
<Properties xmlns="http://schemas.openxmlformats.org/officeDocument/2006/custom-properties" xmlns:vt="http://schemas.openxmlformats.org/officeDocument/2006/docPropsVTypes"/>
</file>